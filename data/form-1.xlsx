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Диспетчер\"/>
    </mc:Choice>
  </mc:AlternateContent>
  <bookViews>
    <workbookView xWindow="0" yWindow="0" windowWidth="28770" windowHeight="12300" tabRatio="651"/>
  </bookViews>
  <sheets>
    <sheet name="оод (2)" sheetId="78" r:id="rId1"/>
    <sheet name="эиб" sheetId="75" r:id="rId2"/>
    <sheet name="юр" sheetId="68" r:id="rId3"/>
    <sheet name="стр" sheetId="43" r:id="rId4"/>
    <sheet name="эл" sheetId="66" r:id="rId5"/>
    <sheet name="ттт" sheetId="53" r:id="rId6"/>
    <sheet name="нд" sheetId="50" r:id="rId7"/>
    <sheet name="оод (3)" sheetId="79" r:id="rId8"/>
  </sheets>
  <definedNames>
    <definedName name="_xlnm._FilterDatabase" localSheetId="1" hidden="1">эиб!$A$99:$Y$117</definedName>
    <definedName name="_xlnm.Print_Area" localSheetId="6">нд!$A$1:$BH$90</definedName>
    <definedName name="_xlnm.Print_Area" localSheetId="0">'оод (2)'!$A$1:$AM$396</definedName>
    <definedName name="_xlnm.Print_Area" localSheetId="7">'оод (3)'!$A$1:$AM$445</definedName>
    <definedName name="_xlnm.Print_Area" localSheetId="3">стр!$A$1:$Z$128</definedName>
    <definedName name="_xlnm.Print_Area" localSheetId="5">ттт!$A$1:$Y$111</definedName>
    <definedName name="_xlnm.Print_Area" localSheetId="2">юр!$A$1:$Y$107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402" i="79" l="1"/>
  <c r="U402" i="79"/>
  <c r="T402" i="79"/>
  <c r="P402" i="79"/>
  <c r="O402" i="79"/>
  <c r="N402" i="79"/>
  <c r="I402" i="79"/>
  <c r="Y401" i="79"/>
  <c r="Y402" i="79" s="1"/>
  <c r="X401" i="79"/>
  <c r="W401" i="79"/>
  <c r="W402" i="79" s="1"/>
  <c r="V401" i="79"/>
  <c r="U401" i="79"/>
  <c r="T401" i="79"/>
  <c r="S401" i="79"/>
  <c r="S402" i="79" s="1"/>
  <c r="R401" i="79"/>
  <c r="Q401" i="79"/>
  <c r="Q402" i="79" s="1"/>
  <c r="P401" i="79"/>
  <c r="O401" i="79"/>
  <c r="N401" i="79"/>
  <c r="M401" i="79"/>
  <c r="M402" i="79" s="1"/>
  <c r="L401" i="79"/>
  <c r="K401" i="79"/>
  <c r="K402" i="79" s="1"/>
  <c r="J401" i="79"/>
  <c r="I401" i="79"/>
  <c r="Y392" i="79"/>
  <c r="X392" i="79"/>
  <c r="X402" i="79" s="1"/>
  <c r="W392" i="79"/>
  <c r="V392" i="79"/>
  <c r="U392" i="79"/>
  <c r="T392" i="79"/>
  <c r="S392" i="79"/>
  <c r="R392" i="79"/>
  <c r="R402" i="79" s="1"/>
  <c r="Q392" i="79"/>
  <c r="P392" i="79"/>
  <c r="O392" i="79"/>
  <c r="N392" i="79"/>
  <c r="M392" i="79"/>
  <c r="L392" i="79"/>
  <c r="L402" i="79" s="1"/>
  <c r="K392" i="79"/>
  <c r="J392" i="79"/>
  <c r="J402" i="79" s="1"/>
  <c r="I392" i="79"/>
  <c r="AE347" i="79"/>
  <c r="AE346" i="79"/>
  <c r="AE349" i="79" s="1"/>
  <c r="AE345" i="79"/>
  <c r="AE315" i="79"/>
  <c r="AE314" i="79"/>
  <c r="AE313" i="79"/>
  <c r="AF312" i="79"/>
  <c r="AE312" i="79"/>
  <c r="AC280" i="79"/>
  <c r="AF261" i="79"/>
  <c r="AF260" i="79"/>
  <c r="AF259" i="79"/>
  <c r="AF258" i="79"/>
  <c r="AF257" i="79"/>
  <c r="AF256" i="79"/>
  <c r="AF262" i="79" s="1"/>
  <c r="AF158" i="79"/>
  <c r="Y352" i="78" l="1"/>
  <c r="X352" i="78"/>
  <c r="W352" i="78"/>
  <c r="V352" i="78"/>
  <c r="U352" i="78"/>
  <c r="T352" i="78"/>
  <c r="S352" i="78"/>
  <c r="R352" i="78"/>
  <c r="Q352" i="78"/>
  <c r="P352" i="78"/>
  <c r="O352" i="78"/>
  <c r="N352" i="78"/>
  <c r="M352" i="78"/>
  <c r="L352" i="78"/>
  <c r="K352" i="78"/>
  <c r="J352" i="78"/>
  <c r="I352" i="78"/>
  <c r="X343" i="78"/>
  <c r="W343" i="78"/>
  <c r="V343" i="78"/>
  <c r="U343" i="78"/>
  <c r="T343" i="78"/>
  <c r="S343" i="78"/>
  <c r="R343" i="78"/>
  <c r="Q343" i="78"/>
  <c r="P343" i="78"/>
  <c r="N343" i="78"/>
  <c r="M343" i="78"/>
  <c r="L343" i="78"/>
  <c r="K343" i="78"/>
  <c r="J343" i="78"/>
  <c r="I343" i="78"/>
  <c r="AE298" i="78"/>
  <c r="AE297" i="78"/>
  <c r="AE296" i="78"/>
  <c r="AE266" i="78"/>
  <c r="AE265" i="78"/>
  <c r="AE264" i="78"/>
  <c r="AF263" i="78"/>
  <c r="AE263" i="78"/>
  <c r="AC231" i="78"/>
  <c r="AF212" i="78"/>
  <c r="AF211" i="78"/>
  <c r="AF210" i="78"/>
  <c r="AF209" i="78"/>
  <c r="AF208" i="78"/>
  <c r="AF207" i="78"/>
  <c r="O343" i="78"/>
  <c r="AF158" i="78"/>
  <c r="J353" i="78" l="1"/>
  <c r="O353" i="78"/>
  <c r="L353" i="78"/>
  <c r="S353" i="78"/>
  <c r="U353" i="78"/>
  <c r="P353" i="78"/>
  <c r="V353" i="78"/>
  <c r="R353" i="78"/>
  <c r="X353" i="78"/>
  <c r="I353" i="78"/>
  <c r="AF213" i="78"/>
  <c r="N353" i="78"/>
  <c r="T353" i="78"/>
  <c r="M353" i="78"/>
  <c r="AE300" i="78"/>
  <c r="K353" i="78"/>
  <c r="Q353" i="78"/>
  <c r="W353" i="78"/>
  <c r="Y343" i="78"/>
  <c r="Y353" i="78" s="1"/>
  <c r="J116" i="75" l="1"/>
  <c r="K116" i="75"/>
  <c r="L116" i="75"/>
  <c r="M116" i="75"/>
  <c r="N116" i="75"/>
  <c r="O116" i="75"/>
  <c r="P116" i="75"/>
  <c r="Q116" i="75"/>
  <c r="R116" i="75"/>
  <c r="S116" i="75"/>
  <c r="T116" i="75"/>
  <c r="U116" i="75"/>
  <c r="V116" i="75"/>
  <c r="W116" i="75"/>
  <c r="X116" i="75"/>
  <c r="I116" i="75"/>
  <c r="J77" i="50" l="1"/>
  <c r="K77" i="50"/>
  <c r="L77" i="50"/>
  <c r="M77" i="50"/>
  <c r="N77" i="50"/>
  <c r="O77" i="50"/>
  <c r="P77" i="50"/>
  <c r="Q77" i="50"/>
  <c r="R77" i="50"/>
  <c r="S77" i="50"/>
  <c r="T77" i="50"/>
  <c r="U77" i="50"/>
  <c r="V77" i="50"/>
  <c r="W77" i="50"/>
  <c r="I77" i="50"/>
  <c r="Y77" i="50" l="1"/>
  <c r="X77" i="50"/>
  <c r="Y116" i="75"/>
  <c r="J121" i="43" l="1"/>
  <c r="K121" i="43"/>
  <c r="L121" i="43"/>
  <c r="M121" i="43"/>
  <c r="N121" i="43"/>
  <c r="O121" i="43"/>
  <c r="P121" i="43"/>
  <c r="R121" i="43"/>
  <c r="S121" i="43"/>
  <c r="T121" i="43"/>
  <c r="U121" i="43"/>
  <c r="V121" i="43"/>
  <c r="W121" i="43"/>
  <c r="X121" i="43"/>
  <c r="I121" i="43"/>
  <c r="X122" i="43" l="1"/>
  <c r="V122" i="43"/>
  <c r="T122" i="43"/>
  <c r="R122" i="43"/>
  <c r="I122" i="43"/>
  <c r="P122" i="43"/>
  <c r="N122" i="43"/>
  <c r="L122" i="43"/>
  <c r="J122" i="43"/>
  <c r="W122" i="43"/>
  <c r="U122" i="43"/>
  <c r="S122" i="43"/>
  <c r="O122" i="43"/>
  <c r="M122" i="43"/>
  <c r="K122" i="43"/>
  <c r="X99" i="75" l="1"/>
  <c r="X117" i="75" s="1"/>
  <c r="W99" i="75"/>
  <c r="W117" i="75" s="1"/>
  <c r="V99" i="75"/>
  <c r="V117" i="75" s="1"/>
  <c r="U99" i="75"/>
  <c r="U117" i="75" s="1"/>
  <c r="T99" i="75"/>
  <c r="T117" i="75" s="1"/>
  <c r="S99" i="75"/>
  <c r="S117" i="75" s="1"/>
  <c r="R99" i="75"/>
  <c r="R117" i="75" s="1"/>
  <c r="P117" i="75"/>
  <c r="O117" i="75"/>
  <c r="N99" i="75"/>
  <c r="N117" i="75" s="1"/>
  <c r="M99" i="75"/>
  <c r="M117" i="75" s="1"/>
  <c r="L99" i="75"/>
  <c r="L117" i="75" s="1"/>
  <c r="K99" i="75"/>
  <c r="K117" i="75" s="1"/>
  <c r="J99" i="75"/>
  <c r="J117" i="75" s="1"/>
  <c r="I99" i="75"/>
  <c r="I117" i="75" s="1"/>
  <c r="Q99" i="75" l="1"/>
  <c r="Q117" i="75" s="1"/>
  <c r="Y99" i="75"/>
  <c r="Y117" i="75" s="1"/>
  <c r="Q121" i="43" l="1"/>
  <c r="Q122" i="43" l="1"/>
  <c r="V67" i="68" l="1"/>
  <c r="V68" i="68" s="1"/>
  <c r="W67" i="68"/>
  <c r="W68" i="68" s="1"/>
  <c r="X67" i="68"/>
  <c r="X68" i="68" s="1"/>
  <c r="U67" i="68"/>
  <c r="U68" i="68" s="1"/>
  <c r="T67" i="68" l="1"/>
  <c r="T68" i="68" s="1"/>
  <c r="S67" i="68"/>
  <c r="S68" i="68" s="1"/>
  <c r="R67" i="68"/>
  <c r="R68" i="68" s="1"/>
  <c r="P67" i="68"/>
  <c r="P68" i="68" s="1"/>
  <c r="O67" i="68"/>
  <c r="O68" i="68" s="1"/>
  <c r="N67" i="68"/>
  <c r="N68" i="68" s="1"/>
  <c r="M67" i="68"/>
  <c r="M68" i="68" s="1"/>
  <c r="L67" i="68"/>
  <c r="L68" i="68" s="1"/>
  <c r="K67" i="68"/>
  <c r="K68" i="68" s="1"/>
  <c r="J67" i="68"/>
  <c r="J68" i="68" s="1"/>
  <c r="I67" i="68"/>
  <c r="I68" i="68" s="1"/>
  <c r="Q67" i="68" l="1"/>
  <c r="Q68" i="68" s="1"/>
  <c r="Y67" i="68"/>
  <c r="Y68" i="68" l="1"/>
  <c r="I170" i="66"/>
  <c r="J170" i="66"/>
  <c r="K170" i="66"/>
  <c r="L170" i="66"/>
  <c r="M170" i="66"/>
  <c r="N170" i="66"/>
  <c r="O170" i="66"/>
  <c r="P170" i="66"/>
  <c r="R170" i="66"/>
  <c r="S170" i="66"/>
  <c r="T170" i="66"/>
  <c r="U170" i="66"/>
  <c r="V170" i="66"/>
  <c r="W170" i="66"/>
  <c r="X170" i="66"/>
  <c r="T171" i="66" l="1"/>
  <c r="X171" i="66"/>
  <c r="R171" i="66"/>
  <c r="V171" i="66"/>
  <c r="L171" i="66"/>
  <c r="P171" i="66"/>
  <c r="N171" i="66"/>
  <c r="J171" i="66"/>
  <c r="Q170" i="66"/>
  <c r="Y170" i="66"/>
  <c r="W171" i="66"/>
  <c r="U171" i="66"/>
  <c r="S171" i="66"/>
  <c r="O171" i="66"/>
  <c r="M171" i="66"/>
  <c r="K171" i="66"/>
  <c r="I171" i="66"/>
  <c r="Q171" i="66" l="1"/>
  <c r="Y171" i="66"/>
  <c r="J58" i="50" l="1"/>
  <c r="J78" i="50" s="1"/>
  <c r="K58" i="50"/>
  <c r="K78" i="50" s="1"/>
  <c r="L58" i="50"/>
  <c r="L78" i="50" s="1"/>
  <c r="M58" i="50"/>
  <c r="M78" i="50" s="1"/>
  <c r="N58" i="50"/>
  <c r="N78" i="50" s="1"/>
  <c r="O58" i="50"/>
  <c r="O78" i="50" s="1"/>
  <c r="P58" i="50"/>
  <c r="P78" i="50" s="1"/>
  <c r="R58" i="50"/>
  <c r="R78" i="50" s="1"/>
  <c r="S58" i="50"/>
  <c r="S78" i="50" s="1"/>
  <c r="T58" i="50"/>
  <c r="T78" i="50" s="1"/>
  <c r="U58" i="50"/>
  <c r="U78" i="50" s="1"/>
  <c r="W58" i="50"/>
  <c r="W78" i="50" s="1"/>
  <c r="X58" i="50"/>
  <c r="X78" i="50" s="1"/>
  <c r="I58" i="50"/>
  <c r="I78" i="50" s="1"/>
  <c r="I79" i="50" l="1"/>
  <c r="W79" i="50"/>
  <c r="T79" i="50"/>
  <c r="R79" i="50"/>
  <c r="O79" i="50"/>
  <c r="M79" i="50"/>
  <c r="K79" i="50"/>
  <c r="X79" i="50"/>
  <c r="U79" i="50"/>
  <c r="S79" i="50"/>
  <c r="P79" i="50"/>
  <c r="N79" i="50"/>
  <c r="L79" i="50"/>
  <c r="J79" i="50"/>
  <c r="Q58" i="50" l="1"/>
  <c r="Q78" i="50" s="1"/>
  <c r="Q79" i="50" s="1"/>
  <c r="V58" i="50"/>
  <c r="V78" i="50" l="1"/>
  <c r="V79" i="50" s="1"/>
  <c r="Y58" i="50"/>
  <c r="Y78" i="50" l="1"/>
  <c r="Y79" i="50" s="1"/>
  <c r="Y121" i="43" l="1"/>
  <c r="Y122" i="43" s="1"/>
</calcChain>
</file>

<file path=xl/sharedStrings.xml><?xml version="1.0" encoding="utf-8"?>
<sst xmlns="http://schemas.openxmlformats.org/spreadsheetml/2006/main" count="6378" uniqueCount="691">
  <si>
    <t xml:space="preserve"> диплом алды</t>
  </si>
  <si>
    <t xml:space="preserve">магистрға басшылық </t>
  </si>
  <si>
    <t>СӨЖО</t>
  </si>
  <si>
    <t>зертханалық</t>
  </si>
  <si>
    <t>практикалық</t>
  </si>
  <si>
    <t>мамандық шифры</t>
  </si>
  <si>
    <t>ОҚУ ЖҮКТЕМЕСІНІҢ ЕСЕБІ</t>
  </si>
  <si>
    <t>Батыс Қазақстан инновациялық -технологиялық университеті</t>
  </si>
  <si>
    <t>кредит саны</t>
  </si>
  <si>
    <t>практикалық сабақ</t>
  </si>
  <si>
    <t>зертханалық сабақ</t>
  </si>
  <si>
    <t xml:space="preserve">магистрлік дисертацияға жетекшілік </t>
  </si>
  <si>
    <t>мамандық (шифр)</t>
  </si>
  <si>
    <t>курс, топ атауы</t>
  </si>
  <si>
    <t>ОСӨЖ</t>
  </si>
  <si>
    <t>қорытынды бақылау</t>
  </si>
  <si>
    <t>МАК</t>
  </si>
  <si>
    <t>Ф-1</t>
  </si>
  <si>
    <t>"Бекітемін"</t>
  </si>
  <si>
    <t>№</t>
  </si>
  <si>
    <t xml:space="preserve"> Пән атауы</t>
  </si>
  <si>
    <t>оқу тілі</t>
  </si>
  <si>
    <t xml:space="preserve">     студенттер саны</t>
  </si>
  <si>
    <t>дәрістер</t>
  </si>
  <si>
    <t>шолу дәрістері</t>
  </si>
  <si>
    <t xml:space="preserve"> практика</t>
  </si>
  <si>
    <t>аралық бақылау</t>
  </si>
  <si>
    <t>Барлық сағат саны</t>
  </si>
  <si>
    <t xml:space="preserve">   оқу            </t>
  </si>
  <si>
    <t xml:space="preserve"> өндірістік</t>
  </si>
  <si>
    <t>педагогикалық</t>
  </si>
  <si>
    <t>Жылға кафедра бойынша барлығы</t>
  </si>
  <si>
    <t>орыс</t>
  </si>
  <si>
    <t>2 семестр бойынша барлығы</t>
  </si>
  <si>
    <t>"___" ________________20___ж.</t>
  </si>
  <si>
    <t>каз</t>
  </si>
  <si>
    <t xml:space="preserve"> дипломдық жұмыс (жоба)жетекшісі</t>
  </si>
  <si>
    <t>курстық  жұмыс /жоба</t>
  </si>
  <si>
    <t xml:space="preserve">СӨЖ қабылдау    </t>
  </si>
  <si>
    <t>Батыс Қазақстан инновациялық - технологиялық университеті</t>
  </si>
  <si>
    <t>Келісілді:</t>
  </si>
  <si>
    <t>6В07303</t>
  </si>
  <si>
    <t xml:space="preserve">Кафедра меңгерушісі__________________Л.И. Байтлесова </t>
  </si>
  <si>
    <t>6В11301</t>
  </si>
  <si>
    <t>6В07101</t>
  </si>
  <si>
    <t>6В07201</t>
  </si>
  <si>
    <t>6В07102</t>
  </si>
  <si>
    <t xml:space="preserve">ОҚУ ЖҮКТЕМЕСІ </t>
  </si>
  <si>
    <t xml:space="preserve"> диплом алдындағы</t>
  </si>
  <si>
    <t>6В11201</t>
  </si>
  <si>
    <t>Философия</t>
  </si>
  <si>
    <t>6В07302</t>
  </si>
  <si>
    <t>6В07301</t>
  </si>
  <si>
    <t>Жерді мемлекеттік тіркеу және есепке алу</t>
  </si>
  <si>
    <t>Технологиялық машиналарды жөндеу</t>
  </si>
  <si>
    <t>Мұнай және газ өндіру машиналары мен жабдықтары</t>
  </si>
  <si>
    <t>Кафедра меңгерушісі__________________</t>
  </si>
  <si>
    <t xml:space="preserve"> Жоспарлаған кредит саны</t>
  </si>
  <si>
    <t>Нақты кредит  саны</t>
  </si>
  <si>
    <t>Жоспарланған кредит саны</t>
  </si>
  <si>
    <t>6В06104</t>
  </si>
  <si>
    <t>6В07104</t>
  </si>
  <si>
    <t>6В09103</t>
  </si>
  <si>
    <t>Құрылыс материалдары</t>
  </si>
  <si>
    <t>Нақты кредит саны</t>
  </si>
  <si>
    <t>к.ж.</t>
  </si>
  <si>
    <t>Электромеханика және электротехникалық жабдықтар</t>
  </si>
  <si>
    <t>Өндірістік процестерді автоматтандыру</t>
  </si>
  <si>
    <t>Электр энергетикасы</t>
  </si>
  <si>
    <t>Тиеу-түсіру жұмыстарының технологиясы және механизациясы</t>
  </si>
  <si>
    <t>Тасымалдауды ұйымдастыру және қозғалысты басқару</t>
  </si>
  <si>
    <t>Жол қозғалысын ұйымдастыру</t>
  </si>
  <si>
    <t>Біртұтас көлік жүйесі</t>
  </si>
  <si>
    <t>Автомобиль көлігін техникалық пайдалану негіздері</t>
  </si>
  <si>
    <t>Машиналар мен механизмдер теориясы</t>
  </si>
  <si>
    <t>Жүктану</t>
  </si>
  <si>
    <t>Автомобильдер  құрылысы</t>
  </si>
  <si>
    <t>Деректер қорын жобалау</t>
  </si>
  <si>
    <t>Шаруашылық аралық жерге орналастыру</t>
  </si>
  <si>
    <t>Дене шынықтыру</t>
  </si>
  <si>
    <t>Өнеркәсіптік электроника</t>
  </si>
  <si>
    <t>6В04202</t>
  </si>
  <si>
    <t>Сот және сот төрелігі</t>
  </si>
  <si>
    <t>НД-31 О</t>
  </si>
  <si>
    <t>НД-33 О</t>
  </si>
  <si>
    <t>ЭЛ-22 О</t>
  </si>
  <si>
    <t>ЭЛ-21 О</t>
  </si>
  <si>
    <t>ТТТ-21 О</t>
  </si>
  <si>
    <t>ЭЛ-23 О</t>
  </si>
  <si>
    <t>ОП-22 О</t>
  </si>
  <si>
    <t>ВЕТ-21 О</t>
  </si>
  <si>
    <t>БЖД-21 О</t>
  </si>
  <si>
    <t>БЖД-22 О</t>
  </si>
  <si>
    <t>БЖД-32 О</t>
  </si>
  <si>
    <t>БЖД-31 О</t>
  </si>
  <si>
    <t>НД-21 О</t>
  </si>
  <si>
    <t>НД-23 О</t>
  </si>
  <si>
    <t>АРХ-21 О</t>
  </si>
  <si>
    <t>ВТИС-21 О</t>
  </si>
  <si>
    <t>ВТИС-22 О</t>
  </si>
  <si>
    <t>СТР-21 О</t>
  </si>
  <si>
    <t>СТР-22 О</t>
  </si>
  <si>
    <t>АРХ-22 О</t>
  </si>
  <si>
    <t>СТР-31 О</t>
  </si>
  <si>
    <t>СТР-32 О</t>
  </si>
  <si>
    <t>АРХ-31 О</t>
  </si>
  <si>
    <t>АРХ-32 О</t>
  </si>
  <si>
    <t>ТТТ-31 О</t>
  </si>
  <si>
    <t>ОП-32 О</t>
  </si>
  <si>
    <t>ЭЛ-31 О</t>
  </si>
  <si>
    <t>ЭЛ-32 О</t>
  </si>
  <si>
    <t>ОП-21 О</t>
  </si>
  <si>
    <t>НД-22 О</t>
  </si>
  <si>
    <t>НД-32 О</t>
  </si>
  <si>
    <t>6В07105</t>
  </si>
  <si>
    <t xml:space="preserve">Еңбекті қорғау     </t>
  </si>
  <si>
    <t>7М07202</t>
  </si>
  <si>
    <t xml:space="preserve">Келісілді:  </t>
  </si>
  <si>
    <t>Инженерлік-гуманитарлық факультетінің деканы________________Б.А.Билашев</t>
  </si>
  <si>
    <t>БжОӘЖЖ проректоры_____________Б.Т. Шакешев</t>
  </si>
  <si>
    <t xml:space="preserve">Өндірістік санитария                      </t>
  </si>
  <si>
    <t>ВЕТ-31 О</t>
  </si>
  <si>
    <t>ВТИС-32 О</t>
  </si>
  <si>
    <t>ВТИС-31 О</t>
  </si>
  <si>
    <t xml:space="preserve">Мультимедиа технологиясы     </t>
  </si>
  <si>
    <t>ОП-31 О</t>
  </si>
  <si>
    <t xml:space="preserve">Сорап және компрессорлық станциялар        </t>
  </si>
  <si>
    <t xml:space="preserve">Мұнай кен орыңдарын игеру    </t>
  </si>
  <si>
    <t>ЭЛ-33 О</t>
  </si>
  <si>
    <t>АРХ-41 О</t>
  </si>
  <si>
    <t>АРХ-42 О</t>
  </si>
  <si>
    <t>Ветеринарияның заманауи мәселелері</t>
  </si>
  <si>
    <t>Ветеринарлық андрология</t>
  </si>
  <si>
    <t>Паразитология және инвазиялық аурулар</t>
  </si>
  <si>
    <t>Жеке хирургия</t>
  </si>
  <si>
    <t xml:space="preserve">Дәстүрлі емес және жаңартылатын энергия көздері                </t>
  </si>
  <si>
    <t xml:space="preserve">Компьютерлік желілер           </t>
  </si>
  <si>
    <t xml:space="preserve">Көлік техникасының энергетикалық қондырғылары       </t>
  </si>
  <si>
    <t xml:space="preserve">Қазақстан Республикасының әкімшілік құқығы </t>
  </si>
  <si>
    <t xml:space="preserve">Сәулет композициясы       </t>
  </si>
  <si>
    <t xml:space="preserve">Сәулеттік жобалау I      </t>
  </si>
  <si>
    <t xml:space="preserve">Кәсіби-компьютерлік бағдарламалар I </t>
  </si>
  <si>
    <t xml:space="preserve">Қылмыстық-атқару құқығы                   </t>
  </si>
  <si>
    <t>Төтенше жағдайлар кезіндегі  экономикалық объектілердің тұрақтылығы</t>
  </si>
  <si>
    <t xml:space="preserve">Инновациялық компьютерлік бағдарламалар (BIM) технологиялары  </t>
  </si>
  <si>
    <t>ВЕТ-41 О</t>
  </si>
  <si>
    <t>Практикалық терапия</t>
  </si>
  <si>
    <t>НД-35 О</t>
  </si>
  <si>
    <t xml:space="preserve">Нотариат          </t>
  </si>
  <si>
    <t xml:space="preserve">Сот медицинасы мен психиатрия негіздері       </t>
  </si>
  <si>
    <t>АУ-22 О</t>
  </si>
  <si>
    <t>НД-25 О</t>
  </si>
  <si>
    <t>НД-27 О</t>
  </si>
  <si>
    <t>ТМО-21 О</t>
  </si>
  <si>
    <t>2 семестр</t>
  </si>
  <si>
    <t>АУ-21 О</t>
  </si>
  <si>
    <t xml:space="preserve">Электроника       </t>
  </si>
  <si>
    <t xml:space="preserve">2 семестр </t>
  </si>
  <si>
    <t>"___"____________2023ж.</t>
  </si>
  <si>
    <t>"__"____________2023ж.</t>
  </si>
  <si>
    <t>2 семестр бакалавриат бойынша барлығы</t>
  </si>
  <si>
    <t>Салалық технологиялар институтының директоры________________Б.А.Билашев</t>
  </si>
  <si>
    <t>БжОӘЖЖ проректоры м.а._____________С.А. Машанова</t>
  </si>
  <si>
    <t>"______" ________________20______ж.</t>
  </si>
  <si>
    <t>Кафедра меңгерушісі__________________С.Б.Серикбекова</t>
  </si>
  <si>
    <t xml:space="preserve">Салалық технологиялар институты директоры  __________________Б.А.Билашев   </t>
  </si>
  <si>
    <t>НД-29 О</t>
  </si>
  <si>
    <t>АРХ-23 О</t>
  </si>
  <si>
    <t>ЗК-22 О</t>
  </si>
  <si>
    <t>ТТТ-22 О</t>
  </si>
  <si>
    <t>6В07204</t>
  </si>
  <si>
    <t xml:space="preserve">Өнеркәсіптік және техникалық қауіпсіздік негіздері  </t>
  </si>
  <si>
    <t>Өрт қауіпсіздігі негіздері</t>
  </si>
  <si>
    <t xml:space="preserve">Ветеринарлық гигиена және санитария       </t>
  </si>
  <si>
    <t>НД-37 О</t>
  </si>
  <si>
    <t>НД-39 О</t>
  </si>
  <si>
    <t>ВЕТ-32 О</t>
  </si>
  <si>
    <t>ТМО-31 О</t>
  </si>
  <si>
    <t>ТМО-32 О</t>
  </si>
  <si>
    <t xml:space="preserve">Жалпы гидравлика         </t>
  </si>
  <si>
    <t xml:space="preserve">Технологиялық машиналар сенімділігі         </t>
  </si>
  <si>
    <t xml:space="preserve">Мұнай және газ ұңғымаларын бұрғылау технологиясы     </t>
  </si>
  <si>
    <t xml:space="preserve">Сәулеттік жобалау IV   </t>
  </si>
  <si>
    <t xml:space="preserve">Сәулеттік жобалау V   </t>
  </si>
  <si>
    <t xml:space="preserve">Құрылыс конструкциялары II          </t>
  </si>
  <si>
    <t>АУ-31 О</t>
  </si>
  <si>
    <t>АУ-33 О</t>
  </si>
  <si>
    <t>АУ-32 О</t>
  </si>
  <si>
    <t xml:space="preserve">Еңбекті қорғау және өнеркәсіптік экология   </t>
  </si>
  <si>
    <t xml:space="preserve">Басқару жүйелеріндегі стандарттау және сертификаттау      </t>
  </si>
  <si>
    <t>ЗК-31 О</t>
  </si>
  <si>
    <t>Жылу энергиясын өндірудің технологиялық негіздері</t>
  </si>
  <si>
    <t xml:space="preserve">Инженерлік құрылыстар жəне олардың қоршаған ортаға технологиялық əсері         </t>
  </si>
  <si>
    <t xml:space="preserve">Машиналар мен жабдықтарды пайдалану және жөндеу      </t>
  </si>
  <si>
    <t>Компьютерлік графика</t>
  </si>
  <si>
    <t xml:space="preserve">Интеллектуалды көлік жүйелері        </t>
  </si>
  <si>
    <t xml:space="preserve">Автокөлікке қызмет көрсету және фирмалық автомобильдерге қызмет көрсету     </t>
  </si>
  <si>
    <t xml:space="preserve">Мұнай өндіру техникасы мен технологиясы      </t>
  </si>
  <si>
    <t>6В09104</t>
  </si>
  <si>
    <t>7М09102</t>
  </si>
  <si>
    <t>Материалдар кедергісі</t>
  </si>
  <si>
    <t>НД-34 О</t>
  </si>
  <si>
    <t>ЮР-32 О /у/</t>
  </si>
  <si>
    <t>ЮР-31 О /у/</t>
  </si>
  <si>
    <t>ЮР-21 О /у/</t>
  </si>
  <si>
    <t>ЮР-23 О /у/</t>
  </si>
  <si>
    <t>ЮР-25 О /г/</t>
  </si>
  <si>
    <t>"__"____________2024ж.</t>
  </si>
  <si>
    <t>"___"____________2024ж.</t>
  </si>
  <si>
    <t xml:space="preserve">2024-2025 оқу жылына Жалпы білім беру пәндер кафедрасы бойынша </t>
  </si>
  <si>
    <t>6В07205</t>
  </si>
  <si>
    <t>Автомобиль көлігіндегі қозғалыс қауіпсіздігін қамтамасыз ету</t>
  </si>
  <si>
    <t>ЭТН 2</t>
  </si>
  <si>
    <t>"__"____________20___ ж.</t>
  </si>
  <si>
    <t>Кафедра меңгерушісі__________________Н.М. Кадыргалиев</t>
  </si>
  <si>
    <t>БжОӘЖЖ проректорының м.а._____________С.А. Машанова</t>
  </si>
  <si>
    <t xml:space="preserve">Cәулеттік жобалау IX           </t>
  </si>
  <si>
    <t xml:space="preserve">Cәулеттік жобалау VIII            </t>
  </si>
  <si>
    <t xml:space="preserve">Сәулет физикасы      </t>
  </si>
  <si>
    <t xml:space="preserve">Ғимараттар интерьерінің сәулеті   </t>
  </si>
  <si>
    <t>ВЕТ-42 О</t>
  </si>
  <si>
    <t>АРХ-33 О</t>
  </si>
  <si>
    <t xml:space="preserve">Экологиялық қауіпсіздік саласындағы заңнамалық және нормативтік актілер              </t>
  </si>
  <si>
    <t xml:space="preserve">Өнеркәсіптік қауіпсіздік саласындағы заңнамалық және нормативтік актілер                      </t>
  </si>
  <si>
    <t xml:space="preserve">Химиялық жəне  биологиялық қауіпсіздік негіздері   </t>
  </si>
  <si>
    <t xml:space="preserve">Өнеркәсіп және қоршаған орта            </t>
  </si>
  <si>
    <t xml:space="preserve">Ветеринарлық істі ұйымдастыру </t>
  </si>
  <si>
    <t xml:space="preserve">Жануарлардың эмерджентті және трансшекаралық аурулары                                              </t>
  </si>
  <si>
    <t xml:space="preserve">Ветеринариялық хирургия      </t>
  </si>
  <si>
    <t xml:space="preserve">С# тілінде қосымшаларды өңдеу      </t>
  </si>
  <si>
    <t>ЗК-32 О</t>
  </si>
  <si>
    <t xml:space="preserve">Агроорман мелирациясы                  </t>
  </si>
  <si>
    <t xml:space="preserve">Су кадастры                                    </t>
  </si>
  <si>
    <t xml:space="preserve">Учаскелік жерге орналастыру         </t>
  </si>
  <si>
    <t xml:space="preserve">Агроқұрылымдарды ішкішаруашылық жерге орналастыру                 </t>
  </si>
  <si>
    <t>НД-39А О</t>
  </si>
  <si>
    <t xml:space="preserve">Мұнайгаз кәсіпшілік жабдықтарын  тоттанудан қорғау                  </t>
  </si>
  <si>
    <t xml:space="preserve">Жолаушылар тасымалдау технологиясы және оны ұйымдастыру     </t>
  </si>
  <si>
    <t xml:space="preserve">Құрылыстағы  автоматтандырылған жобалау жүйесі            </t>
  </si>
  <si>
    <t xml:space="preserve">Металл конструкциясы                    </t>
  </si>
  <si>
    <t xml:space="preserve">Ғимараттар мен имарттардың инженерлік жүйелері                           </t>
  </si>
  <si>
    <t xml:space="preserve">Сәулет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</si>
  <si>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Қала құрылысының негіздері        </t>
  </si>
  <si>
    <t xml:space="preserve">Құрылыс өндірісінің технологиясы </t>
  </si>
  <si>
    <t>ТТТ-32 О</t>
  </si>
  <si>
    <t xml:space="preserve">Автомобиль көлігіндегі жүк және коммерциялық жұмыстарды ұйымдастыру                                             </t>
  </si>
  <si>
    <t xml:space="preserve">Автомобильдің гидравликалық және пневматикалық жүйелерін жобалау және пайдалану          </t>
  </si>
  <si>
    <t>ЮР-33 О /у/</t>
  </si>
  <si>
    <t>ЮР-35 О /г/</t>
  </si>
  <si>
    <t>АРХ-25 О</t>
  </si>
  <si>
    <t>АРХ-27 О</t>
  </si>
  <si>
    <t>ТБПП-21 О</t>
  </si>
  <si>
    <t xml:space="preserve">Тұқым себу және өңдеу машиналары    </t>
  </si>
  <si>
    <t xml:space="preserve">Электротехника негіздері                </t>
  </si>
  <si>
    <t xml:space="preserve">Жерге орналастырудың теориялық негіздері                                            </t>
  </si>
  <si>
    <t xml:space="preserve">Аудандық жоспарлау                          </t>
  </si>
  <si>
    <t xml:space="preserve">Картография                    </t>
  </si>
  <si>
    <t xml:space="preserve">Электрмен қамту жүйесіндегі өтпелі процесстер      </t>
  </si>
  <si>
    <t xml:space="preserve">Электр жабдықтарын монтаждау, пайдалану және реттеу           </t>
  </si>
  <si>
    <t xml:space="preserve">Электр жетегі         </t>
  </si>
  <si>
    <t xml:space="preserve">Есептеу кешендерінің операциялық жүйелері                                                                                                                                                                                                                                </t>
  </si>
  <si>
    <t xml:space="preserve">Компьютерлік графика                                                                                                                                                                                                                         </t>
  </si>
  <si>
    <t xml:space="preserve">Ветеринарлық радиобиология                  </t>
  </si>
  <si>
    <t xml:space="preserve">Тамақ өнеркәсібіне арналған машиналар мен жабдықтар                                                            </t>
  </si>
  <si>
    <t xml:space="preserve">Тамақ өндірісінің процестері мен аппараттары    </t>
  </si>
  <si>
    <t xml:space="preserve">Азық-түлікті сақтау технологиясы                     </t>
  </si>
  <si>
    <t xml:space="preserve">SCADA жүйелері          </t>
  </si>
  <si>
    <t xml:space="preserve">Ақпараттық қауіпсіздік және ақпаратты қорғау        </t>
  </si>
  <si>
    <t xml:space="preserve">Автоматтандырылған электр жетегі        </t>
  </si>
  <si>
    <t>Кәсіпшілік геофизикасы</t>
  </si>
  <si>
    <t xml:space="preserve">Мұнай және газ геологиясының негіздері </t>
  </si>
  <si>
    <t xml:space="preserve">Азаматтық іс жүргізу құқығы  /2/  </t>
  </si>
  <si>
    <t xml:space="preserve">Әкімшілік рәсімдік-процестік құқық /2/   </t>
  </si>
  <si>
    <t xml:space="preserve">Жылжымайтын мүліктің құқықтық режимі                            </t>
  </si>
  <si>
    <t xml:space="preserve">Зияткерлік меншік құқығы           </t>
  </si>
  <si>
    <t>Қылмыстық құқық бұзушылықтарды тергеу теориясы мен практикасы /2/</t>
  </si>
  <si>
    <t>Қылмыстық іс жүргізу құқығы   /2/</t>
  </si>
  <si>
    <t xml:space="preserve">Киберқауіпсіздікті құқықтық қамтамасыз ету      </t>
  </si>
  <si>
    <t xml:space="preserve">2025-2026 оқу жылына Ветеринария және техносфералық қауіпсіздік кафедрасы бойынша </t>
  </si>
  <si>
    <t xml:space="preserve">2025-2026 оқу жылына Құқық кафедрасы бойынша </t>
  </si>
  <si>
    <t xml:space="preserve">2025-2026 оқу жылына Көлік және технологиялар кафедрасы бойынша </t>
  </si>
  <si>
    <t xml:space="preserve">2025-2026 оқу жылына Мұнай-газ ісі  кафедрасы бойынша </t>
  </si>
  <si>
    <t xml:space="preserve">2025-2026 оқу жылына Энергетика, автоматтандыру және есептеу техникасы кафедрасы бойынша </t>
  </si>
  <si>
    <t>ЮР-22 О /г/</t>
  </si>
  <si>
    <t xml:space="preserve">Прокурорлық қадағалау        </t>
  </si>
  <si>
    <t xml:space="preserve">Жедел-іздестіру қызметі      </t>
  </si>
  <si>
    <t xml:space="preserve">Кәсіпкерлік құқығы  </t>
  </si>
  <si>
    <t xml:space="preserve">Салық құқығы                    </t>
  </si>
  <si>
    <t>БЖД-33 О</t>
  </si>
  <si>
    <t>7М07201</t>
  </si>
  <si>
    <t>ЮР-32 О/у/</t>
  </si>
  <si>
    <t>БЖД-11 О</t>
  </si>
  <si>
    <t>ВЕТ-11 О</t>
  </si>
  <si>
    <t>ТБПП-11 О</t>
  </si>
  <si>
    <t>НД-11 О</t>
  </si>
  <si>
    <t>ВТИС-11 О</t>
  </si>
  <si>
    <t>АУ-11 О</t>
  </si>
  <si>
    <t>ТТТ-11 О</t>
  </si>
  <si>
    <t>ТМО-11 О</t>
  </si>
  <si>
    <t>СТР-11 О</t>
  </si>
  <si>
    <t>АРХ-11 О</t>
  </si>
  <si>
    <t>ЭЛ-11 О</t>
  </si>
  <si>
    <t>АРХ-13 О</t>
  </si>
  <si>
    <t>АРХ-15 О</t>
  </si>
  <si>
    <t>ЮР-11 О</t>
  </si>
  <si>
    <t>ВЕТ-12 О</t>
  </si>
  <si>
    <t>НД-12 О</t>
  </si>
  <si>
    <t>ТМО-12 О</t>
  </si>
  <si>
    <t>ТТТ-12 О</t>
  </si>
  <si>
    <t>ОП-12 О</t>
  </si>
  <si>
    <t>ВТИС-12 О</t>
  </si>
  <si>
    <t>ЮР-12 О</t>
  </si>
  <si>
    <t>АУ-12 О</t>
  </si>
  <si>
    <t>ЭЛ-12 О</t>
  </si>
  <si>
    <t>СТР-12 О</t>
  </si>
  <si>
    <t>АРХ-12 О</t>
  </si>
  <si>
    <t>АРХ-14 О</t>
  </si>
  <si>
    <t>ЗК-12 О</t>
  </si>
  <si>
    <t>ЗК-11 О</t>
  </si>
  <si>
    <t>АРХ-11А О</t>
  </si>
  <si>
    <t>АРХ-13А О</t>
  </si>
  <si>
    <t>АРХ-15А О</t>
  </si>
  <si>
    <t>ОП-11 О</t>
  </si>
  <si>
    <t>ТБПП-12 О</t>
  </si>
  <si>
    <t>ВТИС-14 О</t>
  </si>
  <si>
    <t>Шетел тілі</t>
  </si>
  <si>
    <t>АРХ-14 О \1\</t>
  </si>
  <si>
    <t>АРХ-14 О \2\</t>
  </si>
  <si>
    <t>АРХ-12 О \1\</t>
  </si>
  <si>
    <t>АРХ-12 О \2\</t>
  </si>
  <si>
    <t>АРХ-15А О \1\</t>
  </si>
  <si>
    <t>АРХ-15 О \1\</t>
  </si>
  <si>
    <t>АРХ-13А О \1\</t>
  </si>
  <si>
    <t>АРХ-13 О \1\</t>
  </si>
  <si>
    <t>АРХ-11А О \1\</t>
  </si>
  <si>
    <t>АРХ-11 О \1\</t>
  </si>
  <si>
    <t>АРХ-15А О \2\</t>
  </si>
  <si>
    <t>АРХ-15 О \2\</t>
  </si>
  <si>
    <t>АРХ-13А О \2\</t>
  </si>
  <si>
    <t>АРХ-13 О \2\</t>
  </si>
  <si>
    <t>АРХ-11А О \2\</t>
  </si>
  <si>
    <t>АРХ-11 О \2\</t>
  </si>
  <si>
    <t>Орыс тілі</t>
  </si>
  <si>
    <t>Қазақ тілі</t>
  </si>
  <si>
    <t>Физика</t>
  </si>
  <si>
    <t>Химия</t>
  </si>
  <si>
    <t>Сызба геометриясы және инженерлік графика</t>
  </si>
  <si>
    <t>Жануарлар морфологиясы</t>
  </si>
  <si>
    <t>Жануарлар физиологиясы</t>
  </si>
  <si>
    <t>Кескіндеме</t>
  </si>
  <si>
    <t>Сәулет-құрылыс сызбасы</t>
  </si>
  <si>
    <t>Қазақстан Республикасының конституциялық құқығы</t>
  </si>
  <si>
    <t>Қазақстан Республикасының қылмыстық құқығы (жалпы бөлім)</t>
  </si>
  <si>
    <t>Қазақстан Республикасының азаматтық құқығы (жалпы бөлім)</t>
  </si>
  <si>
    <t>Алгоритмдеу және бағдарламалау</t>
  </si>
  <si>
    <t xml:space="preserve">Ақпараттық-коммуникациялық технологиялар </t>
  </si>
  <si>
    <t>МНДП-11</t>
  </si>
  <si>
    <t>МНДП-12</t>
  </si>
  <si>
    <t>МНДН-11</t>
  </si>
  <si>
    <t>МНДН-12</t>
  </si>
  <si>
    <t>Мұнай кен орындарын игеруді бақылау әдістері</t>
  </si>
  <si>
    <t>Мұнай-газ кәсіпшілігін жедел басқару</t>
  </si>
  <si>
    <t>Ұңғыманың түп маңы аймағының конструкциясын жобалау</t>
  </si>
  <si>
    <t>Мұнай бергіштігін арттыру әдістерінің технологиялық үрдістері</t>
  </si>
  <si>
    <t>Басқару психологиясы</t>
  </si>
  <si>
    <t>Теңіз мұнай мен газ кен орындарын пайдалану</t>
  </si>
  <si>
    <t>Мұнай мен газды дайындаудағы технологиялық үдерістер</t>
  </si>
  <si>
    <t>Мұнай-газ өндірудің заманауи технологиялары</t>
  </si>
  <si>
    <t>МВМП-11</t>
  </si>
  <si>
    <t>МВМП-12</t>
  </si>
  <si>
    <t>Үй жануарларының облыстық топографиялық анатомиясы</t>
  </si>
  <si>
    <t>Ауыл шаруашылығы малдарын өсімін молайту биотехнологиясы</t>
  </si>
  <si>
    <t>Жұқпалы және паразиттік аурулардың эпизоотиялық мониторингі</t>
  </si>
  <si>
    <t>Ветеринариялық медицинадағы кешенді терапия және терапевтік техника</t>
  </si>
  <si>
    <t>7М09101</t>
  </si>
  <si>
    <t>МВМН-12</t>
  </si>
  <si>
    <t>МВМН-11</t>
  </si>
  <si>
    <t>2 семестр магистратура бойынша барлығы</t>
  </si>
  <si>
    <t>2 семестр  бойынша барлығы</t>
  </si>
  <si>
    <t>Патенттану және зияткерлік меншікті қорғау</t>
  </si>
  <si>
    <t>Клиникалық ветеринариядағы зертханалық диагностика әдістері</t>
  </si>
  <si>
    <t xml:space="preserve">2025-2026 оқу жылына Сәулет және құрылыс кафедрасы бойынша </t>
  </si>
  <si>
    <t>"__"____________2025ж.</t>
  </si>
  <si>
    <t>"___"____________2025ж.</t>
  </si>
  <si>
    <t>Кафедра меңгерушісі _________________Н.М. Беккалиев</t>
  </si>
  <si>
    <t>қ.проф.Рахметов Т.Х.</t>
  </si>
  <si>
    <t>а.о.Карагойшиев Е.А.</t>
  </si>
  <si>
    <t>с.п.Черкесов М.А.</t>
  </si>
  <si>
    <t>а.о.Отеуова А.К.</t>
  </si>
  <si>
    <t>а.о.Габитова А.Г.</t>
  </si>
  <si>
    <t>а.о.Кайырханов А.Б.</t>
  </si>
  <si>
    <t>а.о.Куатбек Г.К.</t>
  </si>
  <si>
    <t>а.о.Бисембаев Б.Е.</t>
  </si>
  <si>
    <t>с.п.Бисембаев Б.Е.</t>
  </si>
  <si>
    <t>с.п.Таужанов А.М.</t>
  </si>
  <si>
    <t xml:space="preserve">асс.проф.Рахметов Т.Х. </t>
  </si>
  <si>
    <t>асс.проф.Серикбекова С.Б.</t>
  </si>
  <si>
    <t>а.о.Джальмишев М.С.</t>
  </si>
  <si>
    <t>а.о.Сағын Қ.Е.</t>
  </si>
  <si>
    <t>қ.проф.Абдрашит А.А.</t>
  </si>
  <si>
    <t>асс.проф.Абдрашит А.А.</t>
  </si>
  <si>
    <t>проф.Байтлесов Е.У.</t>
  </si>
  <si>
    <t>проф.Канатбаев С.Г.</t>
  </si>
  <si>
    <t>қ.проф.Днекешев А.К.</t>
  </si>
  <si>
    <t>қ.проф.Кейкиева К.К.</t>
  </si>
  <si>
    <t>а.о.Алдибекова Н.Б.</t>
  </si>
  <si>
    <t>с.п.Жумагалиев И.К.</t>
  </si>
  <si>
    <t>а.о.Әміргалиева Ж.Ә.</t>
  </si>
  <si>
    <t>а.о.Муратбаева Ж.Б.</t>
  </si>
  <si>
    <t>а.о.Мурзабекова Ж.А.</t>
  </si>
  <si>
    <t>а.о.Кабдолов Т.Ж.</t>
  </si>
  <si>
    <t>д.Марьина О.Н.</t>
  </si>
  <si>
    <t>проф.Марьин Е.М.</t>
  </si>
  <si>
    <t>д.Веденеева Н.В.</t>
  </si>
  <si>
    <t>prof.Dr Biljana Radojicic</t>
  </si>
  <si>
    <t>с.п.Санталина Г.А.</t>
  </si>
  <si>
    <t>с.п.Бердалиева М.Б.</t>
  </si>
  <si>
    <t>қ.проф.Туяшев Е.К.</t>
  </si>
  <si>
    <t>проф.Шалменов М.Ш.</t>
  </si>
  <si>
    <t>проф.Абсатиров Г.Г.</t>
  </si>
  <si>
    <t>асс.проф.Днекешев А.К.</t>
  </si>
  <si>
    <t>а.о.Тажбаева Д.Т.</t>
  </si>
  <si>
    <t>с.п.Тажбаева Д.Т.</t>
  </si>
  <si>
    <t>асс.проф.Кейкиева К.К.</t>
  </si>
  <si>
    <t>а.о.Акатова Р.І.</t>
  </si>
  <si>
    <t>с.п.Акатова Р.І.</t>
  </si>
  <si>
    <t>а.о.Абатова Н.О.</t>
  </si>
  <si>
    <t>с.п.Муратбаева Ж.Б.</t>
  </si>
  <si>
    <t>с.п.Мурзабекова Ж.А.</t>
  </si>
  <si>
    <t>а.о.Кенесарина К.Х.</t>
  </si>
  <si>
    <t>с.п.Амиргалиева А.М.</t>
  </si>
  <si>
    <t>а.о.Утарова М.М.</t>
  </si>
  <si>
    <t>проф.Бурахта В.А.</t>
  </si>
  <si>
    <t>қ.проф.Ниязбекова А.Б.</t>
  </si>
  <si>
    <t>а.о.Дусмагулов К.К.</t>
  </si>
  <si>
    <t>қ.проф.Ширванов Р.Б.</t>
  </si>
  <si>
    <t>а.о.Кадыркулова М.М.</t>
  </si>
  <si>
    <t>қ.проф. Нарбаев К.А.</t>
  </si>
  <si>
    <t>а.о.Бисенгалиева Г.Б.</t>
  </si>
  <si>
    <t>а.о.Әбілғазиев Е.Н.</t>
  </si>
  <si>
    <t>қ.проф.Кажиакпарова Ж.С.</t>
  </si>
  <si>
    <t>а.о.Шынтемір И.Б.</t>
  </si>
  <si>
    <t>а.о.Ғайнешова А.М.</t>
  </si>
  <si>
    <t>асс.проф.Николаев А.А.</t>
  </si>
  <si>
    <t>а.о.Буранова Н.Г.</t>
  </si>
  <si>
    <t>а.о.Лукпанова Д.М.</t>
  </si>
  <si>
    <t>с.п.Мысько В.В.</t>
  </si>
  <si>
    <t>с.п.Шатекова А.Н.</t>
  </si>
  <si>
    <t>а.о.Шатекова А.Н.</t>
  </si>
  <si>
    <t>а.о.Кайранбаева А.Б.</t>
  </si>
  <si>
    <t>а.о.Жукенова Д.Е.</t>
  </si>
  <si>
    <t>с.п.Жукенова Д.Е.</t>
  </si>
  <si>
    <t>с.п.Дудниченков М.М.</t>
  </si>
  <si>
    <t>с.п.Ким А.В.</t>
  </si>
  <si>
    <t>а.о.Абдрахманова И.Т.</t>
  </si>
  <si>
    <t>а.о.Саргужиева Б.А.</t>
  </si>
  <si>
    <t>а.о.Базарбаев Д.Б.</t>
  </si>
  <si>
    <t>асс.проф.Захаров В.П.</t>
  </si>
  <si>
    <t>асс.проф.Садыкова Л.А.</t>
  </si>
  <si>
    <t>асс.проф.Олейников С.В.</t>
  </si>
  <si>
    <t>асс.проф.Тулегенов К.К.</t>
  </si>
  <si>
    <t>қ.проф.Тулегенов К.К.</t>
  </si>
  <si>
    <t>а.о.Киікбаев М.Қ.</t>
  </si>
  <si>
    <t>с.п.Тулемисова С.С.</t>
  </si>
  <si>
    <t>а.о.Тулемисова С.С.</t>
  </si>
  <si>
    <t>қ.проф.Сабиров Б.Ф.</t>
  </si>
  <si>
    <t>а.о.Утеева Т.Н.</t>
  </si>
  <si>
    <t>с.п.Калешева Г.Е.</t>
  </si>
  <si>
    <t>проф.Билашев Б.А.</t>
  </si>
  <si>
    <t xml:space="preserve">қ.проф.Ихсанов К.А. </t>
  </si>
  <si>
    <t>асс.проф.Ихсанов К.А.</t>
  </si>
  <si>
    <t>қ.проф.Шуланбаева Л.Т.</t>
  </si>
  <si>
    <t>асс.проф.Шуланбаева Л.Т.</t>
  </si>
  <si>
    <t>асс.проф.Сабиров Б.Ф.</t>
  </si>
  <si>
    <t xml:space="preserve">а.о.Кадиралиев А.К. </t>
  </si>
  <si>
    <t>а.о.Кадиралиев А.К.</t>
  </si>
  <si>
    <t xml:space="preserve">а.о.Утеева Т.Н. </t>
  </si>
  <si>
    <t xml:space="preserve">а.о.Тулемисова С.С. </t>
  </si>
  <si>
    <t>а.о.Бактугулов Е.Т.</t>
  </si>
  <si>
    <t>с.п.Бикетов Б.А.</t>
  </si>
  <si>
    <t>қ.проф.Турлыбаев Х.Т.</t>
  </si>
  <si>
    <t>асс.проф.Турлыбаев Х.Т.</t>
  </si>
  <si>
    <t>а.о.Дошманов А.К.</t>
  </si>
  <si>
    <t>с.п.Дошманов А.К.</t>
  </si>
  <si>
    <t>а.о.Табинбаев А.М.</t>
  </si>
  <si>
    <t>қ.проф.Оқас Қ.</t>
  </si>
  <si>
    <t>а.о.Нургалиев Л.М.</t>
  </si>
  <si>
    <t>с.п.Нургалиев Л.М.</t>
  </si>
  <si>
    <t>асс.проф.Оверченко Г.И.</t>
  </si>
  <si>
    <t>с.п.Уразгалиева М.К.</t>
  </si>
  <si>
    <t>асс.проф.Чурикова Л.А.</t>
  </si>
  <si>
    <t>а.о.Губайдуллин К.Ж.</t>
  </si>
  <si>
    <t>а.о.Сарсенбаева Л.Х.</t>
  </si>
  <si>
    <t>қ.проф.Кажияхметова А.А.</t>
  </si>
  <si>
    <t>а.о.Гумаров Д.Ж.</t>
  </si>
  <si>
    <t>с.п.Гумаров Д.Ж.</t>
  </si>
  <si>
    <t>а.о.Кенжина Ж.С.</t>
  </si>
  <si>
    <t>а.о.Утегенов Б.Т.</t>
  </si>
  <si>
    <t>а.о.Сарсенгалиева М.Г.</t>
  </si>
  <si>
    <t>а.о.Избасова Г.Ш.</t>
  </si>
  <si>
    <t>с.п.Таскалиев А.Т.</t>
  </si>
  <si>
    <t>а.о.Карабалин Д.М.</t>
  </si>
  <si>
    <t xml:space="preserve">а.о.Карабалин Д.М. </t>
  </si>
  <si>
    <t>а.о.Умерешова С.Г.</t>
  </si>
  <si>
    <t>с.п.Умерешова С.Г.</t>
  </si>
  <si>
    <t>а.о.Джумабаева К.М.</t>
  </si>
  <si>
    <t xml:space="preserve">а.о.Тауышев О.У. </t>
  </si>
  <si>
    <t>с.п.Аманова Б.Н.</t>
  </si>
  <si>
    <t>а.о.Батыргерей А.А.</t>
  </si>
  <si>
    <t>с.п.Лукпанов Г.Н.</t>
  </si>
  <si>
    <t>а.о.Мақсотова А.Б.</t>
  </si>
  <si>
    <t>с.п.Койбагарова Л.Т.</t>
  </si>
  <si>
    <t>с.п.Сарсенгалиева М.Г.</t>
  </si>
  <si>
    <t>с.п.Кенжина Ж.С.</t>
  </si>
  <si>
    <t>қ.проф.Нариков К.А.</t>
  </si>
  <si>
    <t>асс.проф.Нариков К.А.</t>
  </si>
  <si>
    <t>с.п.Утегенов Б.Т.</t>
  </si>
  <si>
    <t>а.о.Муфтигалиева А.А.</t>
  </si>
  <si>
    <t>о.Болат Е.Б.</t>
  </si>
  <si>
    <t>п.Абатова А.С.</t>
  </si>
  <si>
    <t>с.п.Батыргерей  А.А.</t>
  </si>
  <si>
    <t>а.о.Муртазин М.М.</t>
  </si>
  <si>
    <t>с.п.Избасова Г.Ш.</t>
  </si>
  <si>
    <t>о.Абатова А.С.</t>
  </si>
  <si>
    <t>а.о.Кенжегалиева Б.А.</t>
  </si>
  <si>
    <t>с.п.Кенжегалиева Б.А.</t>
  </si>
  <si>
    <t>а.о.Ідірісов Б.Л.</t>
  </si>
  <si>
    <t>ЮР-13 О</t>
  </si>
  <si>
    <t>ЮР-15 О</t>
  </si>
  <si>
    <t>ЮР-17 О</t>
  </si>
  <si>
    <t>ЮР-19 О</t>
  </si>
  <si>
    <t>НД-13 О</t>
  </si>
  <si>
    <t>с.п.Лукпанова Д.М.</t>
  </si>
  <si>
    <t>вак</t>
  </si>
  <si>
    <t>с.п.Жубаншев Б.У.</t>
  </si>
  <si>
    <t>қ.проф.Омаров А.Н.</t>
  </si>
  <si>
    <t>қ.проф.Биниязов А.М.</t>
  </si>
  <si>
    <t>асс.проф.Биниязов А.М.</t>
  </si>
  <si>
    <t>с.п.Сагиров А.Е.</t>
  </si>
  <si>
    <t>а.о.Сагиров А.Е.</t>
  </si>
  <si>
    <t>НД-15 О</t>
  </si>
  <si>
    <t>НД-17 О</t>
  </si>
  <si>
    <t>НД-19 О</t>
  </si>
  <si>
    <t>осн</t>
  </si>
  <si>
    <t>Уахасов</t>
  </si>
  <si>
    <t>Утебалиев</t>
  </si>
  <si>
    <t>Шалаев</t>
  </si>
  <si>
    <t>АРХ-15 О -1</t>
  </si>
  <si>
    <t>Султангалиева</t>
  </si>
  <si>
    <t>АРХ-15 О -2</t>
  </si>
  <si>
    <t>Маметанова</t>
  </si>
  <si>
    <t>АРХ-15А О -1</t>
  </si>
  <si>
    <t>АРХ-15А О -2</t>
  </si>
  <si>
    <t>ЮР-17 О -1</t>
  </si>
  <si>
    <t>ЮР-17 О -2</t>
  </si>
  <si>
    <t>Майранова</t>
  </si>
  <si>
    <t>НД-11 О /1/</t>
  </si>
  <si>
    <t>НД-11 О /2/</t>
  </si>
  <si>
    <t>НД-13 О /1/</t>
  </si>
  <si>
    <t>НД-13 О /2/</t>
  </si>
  <si>
    <t>Курманова</t>
  </si>
  <si>
    <t>ТТТ-11 О /1/</t>
  </si>
  <si>
    <t>ТТТ-11 О /2/</t>
  </si>
  <si>
    <t>БЖД-11 О /1/</t>
  </si>
  <si>
    <t>Даукариева</t>
  </si>
  <si>
    <t>БЖД-11 О /2/</t>
  </si>
  <si>
    <t>ОП-11 О /1/</t>
  </si>
  <si>
    <t>ОП-11 О /2/</t>
  </si>
  <si>
    <t>ВТИС-11 О /1/</t>
  </si>
  <si>
    <t>ВТИС-11 О /2/</t>
  </si>
  <si>
    <t>ЮР-11 О /1/</t>
  </si>
  <si>
    <t>ЮР-11 О /2/</t>
  </si>
  <si>
    <t>ЮР-13 О /1/</t>
  </si>
  <si>
    <t>ЮР-13 О /2/</t>
  </si>
  <si>
    <t>ЮР-15 О /1/</t>
  </si>
  <si>
    <t>ЮР-15 О /2/</t>
  </si>
  <si>
    <t>СТР-11 О /1/</t>
  </si>
  <si>
    <t>СТР-11 О /2/</t>
  </si>
  <si>
    <t>АРХ-11 О /1/</t>
  </si>
  <si>
    <t>АРХ-11 О /2/</t>
  </si>
  <si>
    <t>АРХ-11А О /1/</t>
  </si>
  <si>
    <t>АРХ-11А О /2/</t>
  </si>
  <si>
    <t>АРХ-13 О /1/</t>
  </si>
  <si>
    <t>АРХ-13 О /2/</t>
  </si>
  <si>
    <t>АРХ-13А О /1/</t>
  </si>
  <si>
    <t>АРХ-13А О /2/</t>
  </si>
  <si>
    <t>НД-12 О /1/</t>
  </si>
  <si>
    <t>НД-12 О /2/</t>
  </si>
  <si>
    <t>АРХ-12 О /1/</t>
  </si>
  <si>
    <t>АРХ-12 О /2/</t>
  </si>
  <si>
    <t>АРХ-14 О /1/</t>
  </si>
  <si>
    <t>АРХ-14 О /2/</t>
  </si>
  <si>
    <t>Манцева</t>
  </si>
  <si>
    <t>Исагулова</t>
  </si>
  <si>
    <t>Уабиева</t>
  </si>
  <si>
    <t>шаукенева</t>
  </si>
  <si>
    <t xml:space="preserve">АУ-11 О </t>
  </si>
  <si>
    <t xml:space="preserve">ЭЛ-11 О </t>
  </si>
  <si>
    <t>мурзабекова</t>
  </si>
  <si>
    <t>Шканова Б.А.</t>
  </si>
  <si>
    <t>ЮР-12 О /1/</t>
  </si>
  <si>
    <t>каржауова</t>
  </si>
  <si>
    <t>ЮР-12 О /2/</t>
  </si>
  <si>
    <t>асс.проф.Кульматов С.Я.</t>
  </si>
  <si>
    <t>а.о.Уахасов Қ.С.</t>
  </si>
  <si>
    <t xml:space="preserve">а.о.Утебалиев М.М. </t>
  </si>
  <si>
    <t>а.о. Шалаев Б.Б.</t>
  </si>
  <si>
    <t>а.о.Шалаев Б.Б.</t>
  </si>
  <si>
    <t xml:space="preserve">а.о.Шалаев Б.Б. </t>
  </si>
  <si>
    <t xml:space="preserve">а.о. Утебалиев М.М. </t>
  </si>
  <si>
    <t>а.о.Утебалиев М.М.</t>
  </si>
  <si>
    <t>с.п.Шалаев Б.Б.</t>
  </si>
  <si>
    <t>с.п.Уахасов Қ.С.</t>
  </si>
  <si>
    <t xml:space="preserve">с.п.Утебалиев М.М. </t>
  </si>
  <si>
    <t>с.п.Утебалиев М.М.</t>
  </si>
  <si>
    <t>а.о.Каленова Ж.М.</t>
  </si>
  <si>
    <t>а.о.Разахова Ф.Ж.</t>
  </si>
  <si>
    <t>с.п.Разахова Ф.Ж.</t>
  </si>
  <si>
    <t xml:space="preserve">с.п.Каленова Ж.М. </t>
  </si>
  <si>
    <t>А.Моб</t>
  </si>
  <si>
    <t>а.о.Султангалиева А.А.</t>
  </si>
  <si>
    <t>а.о.Маметанова С.Т.</t>
  </si>
  <si>
    <t>қ.проф.Доукариева У.К.</t>
  </si>
  <si>
    <t>а.о.Майранова Л.Н.</t>
  </si>
  <si>
    <t>а.о.Курманова Ж.Б.</t>
  </si>
  <si>
    <t>асс.проф.Доукариева У.К.</t>
  </si>
  <si>
    <t>с.п.Майранова Л.Н.</t>
  </si>
  <si>
    <t>с.п.Султангалиева А.А.</t>
  </si>
  <si>
    <t>с.п.Маметанова С.Т.</t>
  </si>
  <si>
    <t>с.п.Курманова Ж.Б.</t>
  </si>
  <si>
    <t>а.о.Шаукенева С.К.</t>
  </si>
  <si>
    <t>а.о.Манцева Г.О.</t>
  </si>
  <si>
    <t>а.о.Исагулова Т.Р.</t>
  </si>
  <si>
    <t>қ.проф.Уабиева А.А.</t>
  </si>
  <si>
    <t>с.п.Мурзабекова Г.Т.</t>
  </si>
  <si>
    <t>проф.Шканова Б.А.</t>
  </si>
  <si>
    <t>с.п.Каржауова Г.К.</t>
  </si>
  <si>
    <t>асс.проф.Сабитов Е.Е.</t>
  </si>
  <si>
    <t>асс.проф.Мажитов Е.Б.</t>
  </si>
  <si>
    <t>а.о.Бакишева Р.Ж.</t>
  </si>
  <si>
    <t>с.п.Бакишева Р.Ж.</t>
  </si>
  <si>
    <t>асс.проф.Оқас Қ.</t>
  </si>
  <si>
    <t>Жасанды интеллект негіздері</t>
  </si>
  <si>
    <t>с.п.Жубанышев Б.У.</t>
  </si>
  <si>
    <t>а.о.Жумагалиев И.К.</t>
  </si>
  <si>
    <t>с.п..Жумагалиев И.К.</t>
  </si>
  <si>
    <t>асс.проф. Нарбаев К.А.</t>
  </si>
  <si>
    <t>с.п.Беккалиев Н.М.</t>
  </si>
  <si>
    <t>с.п.Байков А.Г.</t>
  </si>
  <si>
    <t>504А,503А,  502А,501А</t>
  </si>
  <si>
    <t>401 А,402 А</t>
  </si>
  <si>
    <t xml:space="preserve">корпус </t>
  </si>
  <si>
    <t>Геодезия</t>
  </si>
  <si>
    <t xml:space="preserve">РНР бағдарламалау </t>
  </si>
  <si>
    <t xml:space="preserve">РНР бағдарламалау  </t>
  </si>
  <si>
    <t xml:space="preserve">Автоматтандыру және басқару негіздері </t>
  </si>
  <si>
    <t xml:space="preserve">Ветеринарлық фармакология және токсикология </t>
  </si>
  <si>
    <t xml:space="preserve">Ветеринарлық микробиология және вирусология   </t>
  </si>
  <si>
    <t xml:space="preserve">Жануарлар патологиясы </t>
  </si>
  <si>
    <t xml:space="preserve">Індеттану және жануарлардың індетті аурулары </t>
  </si>
  <si>
    <t xml:space="preserve">408, 508 </t>
  </si>
  <si>
    <t xml:space="preserve">чапаева 69 </t>
  </si>
  <si>
    <t>а.о.Утарова М.М. Только один день</t>
  </si>
  <si>
    <t>Ихсанова 44/1</t>
  </si>
  <si>
    <t>202, 207, 502</t>
  </si>
  <si>
    <t xml:space="preserve">только лекция 100 </t>
  </si>
  <si>
    <t>только лекция 100 лаб, практика  11</t>
  </si>
  <si>
    <t xml:space="preserve">лекция пот , практика  401 </t>
  </si>
  <si>
    <t>лекция пот, практика 302</t>
  </si>
  <si>
    <t>с.п.Муртазин М.М.</t>
  </si>
  <si>
    <t>корпус</t>
  </si>
  <si>
    <t>лекция Г-пот   практика 112</t>
  </si>
  <si>
    <t>лекция Г-пот   практика 106</t>
  </si>
  <si>
    <t>вет.кл</t>
  </si>
  <si>
    <t>ихсанова 44/1</t>
  </si>
  <si>
    <t>лекция ауд7 победа 137/1</t>
  </si>
  <si>
    <t>Әлеуметтік-саясаттану  білім модулі   (әлеуметтану)</t>
  </si>
  <si>
    <t>Әлеуметтік-саясаттану  білім модулі   (саясаттану)</t>
  </si>
  <si>
    <t>АРХ-21 О /1/</t>
  </si>
  <si>
    <t>АРХ-21 О /2/</t>
  </si>
  <si>
    <t>АРХ-23 О /1/</t>
  </si>
  <si>
    <t>АРХ-23 О /2/</t>
  </si>
  <si>
    <t>АРХ-25 О /1/</t>
  </si>
  <si>
    <t>АРХ-25 О /2/</t>
  </si>
  <si>
    <t>АРХ-27 О /1/</t>
  </si>
  <si>
    <t>АРХ-27 О /2/</t>
  </si>
  <si>
    <t>АРХ-22 О /1/</t>
  </si>
  <si>
    <t>АРХ-22 О /2/</t>
  </si>
  <si>
    <t xml:space="preserve"> </t>
  </si>
  <si>
    <t>с.п.Кадиралиев А.К</t>
  </si>
  <si>
    <t>а.о.Кадиралиев А.К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</si>
</sst>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Да&quot;;&quot;Да&quot;;&quot;Нет&quot;"/>
    <numFmt numFmtId="165" formatCode="0.0"/>
  </numFmts>
  <fonts count="29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name val="Arial Cyr"/>
      <charset val="204"/>
    </font>
    <font>
      <sz val="12"/>
      <name val="Times New Roman"/>
      <family val="1"/>
      <charset val="204"/>
    </font>
    <font>
      <sz val="10"/>
      <name val="Arial Cyr"/>
      <charset val="204"/>
    </font>
    <font>
      <sz val="10"/>
      <name val="Arial"/>
      <family val="2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2"/>
      <name val="Times New Roman"/>
      <family val="1"/>
    </font>
    <font>
      <sz val="12"/>
      <color indexed="10"/>
      <name val="Arial Cyr"/>
      <charset val="204"/>
    </font>
    <font>
      <sz val="14"/>
      <color rgb="FF000000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4"/>
      <color rgb="FF292B2C"/>
      <name val="Times New Roman"/>
      <family val="1"/>
      <charset val="204"/>
    </font>
    <font>
      <sz val="8"/>
      <name val="Arial Cyr"/>
      <charset val="204"/>
    </font>
    <font>
      <sz val="14"/>
      <color rgb="FFFF0000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2"/>
      <color theme="1"/>
      <name val="Arial Cyr"/>
      <charset val="204"/>
    </font>
    <font>
      <sz val="14"/>
      <name val="Arial Cyr"/>
      <charset val="204"/>
    </font>
    <font>
      <sz val="14"/>
      <name val="Times New Roman"/>
      <family val="1"/>
    </font>
    <font>
      <sz val="14"/>
      <color indexed="10"/>
      <name val="Arial Cyr"/>
      <charset val="204"/>
    </font>
    <font>
      <sz val="14"/>
      <color theme="1"/>
      <name val="Arial Cyr"/>
      <charset val="204"/>
    </font>
    <font>
      <sz val="10"/>
      <color rgb="FFFF0000"/>
      <name val="Arial Cyr"/>
      <charset val="204"/>
    </font>
    <font>
      <sz val="12"/>
      <color rgb="FFFF0000"/>
      <name val="Arial Cyr"/>
      <charset val="204"/>
    </font>
    <font>
      <sz val="14"/>
      <color rgb="FFFF0000"/>
      <name val="Arial Cyr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0">
    <xf numFmtId="0" fontId="0" fillId="0" borderId="0"/>
    <xf numFmtId="0" fontId="8" fillId="0" borderId="0"/>
    <xf numFmtId="0" fontId="8" fillId="0" borderId="0"/>
    <xf numFmtId="0" fontId="8" fillId="0" borderId="0"/>
    <xf numFmtId="0" fontId="12" fillId="0" borderId="0"/>
    <xf numFmtId="9" fontId="8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1" fillId="0" borderId="0"/>
  </cellStyleXfs>
  <cellXfs count="541">
    <xf numFmtId="0" fontId="0" fillId="0" borderId="0" xfId="0"/>
    <xf numFmtId="0" fontId="0" fillId="2" borderId="0" xfId="0" applyFill="1"/>
    <xf numFmtId="0" fontId="7" fillId="2" borderId="0" xfId="0" applyFont="1" applyFill="1" applyBorder="1"/>
    <xf numFmtId="0" fontId="7" fillId="2" borderId="0" xfId="0" applyFont="1" applyFill="1"/>
    <xf numFmtId="0" fontId="6" fillId="2" borderId="0" xfId="0" applyFont="1" applyFill="1" applyBorder="1"/>
    <xf numFmtId="0" fontId="6" fillId="2" borderId="0" xfId="0" applyFont="1" applyFill="1"/>
    <xf numFmtId="0" fontId="10" fillId="2" borderId="0" xfId="0" applyFont="1" applyFill="1" applyBorder="1"/>
    <xf numFmtId="0" fontId="6" fillId="2" borderId="0" xfId="0" applyFont="1" applyFill="1" applyBorder="1" applyAlignment="1">
      <alignment horizontal="left"/>
    </xf>
    <xf numFmtId="0" fontId="13" fillId="2" borderId="0" xfId="0" applyFont="1" applyFill="1" applyBorder="1"/>
    <xf numFmtId="0" fontId="7" fillId="2" borderId="0" xfId="0" applyFont="1" applyFill="1" applyBorder="1" applyAlignment="1">
      <alignment horizontal="center" wrapText="1"/>
    </xf>
    <xf numFmtId="0" fontId="14" fillId="2" borderId="0" xfId="0" applyFont="1" applyFill="1"/>
    <xf numFmtId="0" fontId="14" fillId="2" borderId="0" xfId="0" applyFont="1" applyFill="1" applyBorder="1"/>
    <xf numFmtId="0" fontId="13" fillId="2" borderId="0" xfId="0" applyFont="1" applyFill="1"/>
    <xf numFmtId="0" fontId="13" fillId="2" borderId="0" xfId="0" applyFont="1" applyFill="1" applyBorder="1" applyAlignment="1">
      <alignment horizontal="center"/>
    </xf>
    <xf numFmtId="0" fontId="13" fillId="2" borderId="0" xfId="0" applyFont="1" applyFill="1" applyBorder="1" applyAlignment="1"/>
    <xf numFmtId="0" fontId="6" fillId="3" borderId="0" xfId="0" applyFont="1" applyFill="1"/>
    <xf numFmtId="0" fontId="6" fillId="3" borderId="0" xfId="0" applyFont="1" applyFill="1" applyBorder="1"/>
    <xf numFmtId="0" fontId="0" fillId="3" borderId="0" xfId="0" applyFill="1"/>
    <xf numFmtId="0" fontId="14" fillId="3" borderId="0" xfId="0" applyFont="1" applyFill="1"/>
    <xf numFmtId="0" fontId="10" fillId="2" borderId="0" xfId="0" applyFont="1" applyFill="1" applyBorder="1" applyAlignment="1"/>
    <xf numFmtId="0" fontId="13" fillId="3" borderId="0" xfId="0" applyFont="1" applyFill="1" applyBorder="1"/>
    <xf numFmtId="0" fontId="13" fillId="3" borderId="0" xfId="0" applyFont="1" applyFill="1"/>
    <xf numFmtId="0" fontId="10" fillId="2" borderId="0" xfId="0" applyNumberFormat="1" applyFont="1" applyFill="1" applyBorder="1" applyAlignment="1">
      <alignment horizontal="left"/>
    </xf>
    <xf numFmtId="0" fontId="10" fillId="2" borderId="0" xfId="0" applyFont="1" applyFill="1"/>
    <xf numFmtId="0" fontId="10" fillId="2" borderId="0" xfId="0" applyNumberFormat="1" applyFont="1" applyFill="1" applyBorder="1" applyAlignment="1"/>
    <xf numFmtId="0" fontId="11" fillId="2" borderId="0" xfId="0" applyNumberFormat="1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10" fillId="2" borderId="0" xfId="0" applyNumberFormat="1" applyFont="1" applyFill="1" applyBorder="1"/>
    <xf numFmtId="0" fontId="10" fillId="2" borderId="0" xfId="0" applyFont="1" applyFill="1" applyAlignment="1"/>
    <xf numFmtId="0" fontId="10" fillId="2" borderId="0" xfId="0" applyNumberFormat="1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left"/>
    </xf>
    <xf numFmtId="0" fontId="11" fillId="2" borderId="0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/>
    </xf>
    <xf numFmtId="0" fontId="10" fillId="2" borderId="1" xfId="0" applyFont="1" applyFill="1" applyBorder="1" applyAlignment="1">
      <alignment horizontal="center"/>
    </xf>
    <xf numFmtId="0" fontId="10" fillId="2" borderId="1" xfId="0" applyFont="1" applyFill="1" applyBorder="1"/>
    <xf numFmtId="0" fontId="10" fillId="2" borderId="2" xfId="0" applyNumberFormat="1" applyFont="1" applyFill="1" applyBorder="1" applyAlignment="1">
      <alignment horizontal="center" vertical="center"/>
    </xf>
    <xf numFmtId="0" fontId="10" fillId="2" borderId="0" xfId="0" applyNumberFormat="1" applyFont="1" applyFill="1" applyBorder="1" applyAlignment="1">
      <alignment horizontal="center"/>
    </xf>
    <xf numFmtId="0" fontId="11" fillId="2" borderId="14" xfId="0" applyFont="1" applyFill="1" applyBorder="1" applyAlignment="1">
      <alignment horizontal="center" vertical="center" wrapText="1"/>
    </xf>
    <xf numFmtId="0" fontId="10" fillId="2" borderId="1" xfId="0" applyNumberFormat="1" applyFont="1" applyFill="1" applyBorder="1"/>
    <xf numFmtId="0" fontId="11" fillId="2" borderId="0" xfId="0" applyFont="1" applyFill="1" applyBorder="1" applyAlignment="1">
      <alignment vertical="center"/>
    </xf>
    <xf numFmtId="0" fontId="10" fillId="2" borderId="23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/>
    <xf numFmtId="0" fontId="10" fillId="2" borderId="17" xfId="0" applyFont="1" applyFill="1" applyBorder="1" applyAlignment="1">
      <alignment horizontal="center" vertical="center"/>
    </xf>
    <xf numFmtId="0" fontId="10" fillId="2" borderId="18" xfId="0" applyNumberFormat="1" applyFont="1" applyFill="1" applyBorder="1" applyAlignment="1">
      <alignment horizontal="center" vertical="center"/>
    </xf>
    <xf numFmtId="0" fontId="11" fillId="2" borderId="0" xfId="0" applyNumberFormat="1" applyFont="1" applyFill="1" applyAlignment="1">
      <alignment vertical="center"/>
    </xf>
    <xf numFmtId="0" fontId="10" fillId="2" borderId="0" xfId="0" applyNumberFormat="1" applyFont="1" applyFill="1"/>
    <xf numFmtId="49" fontId="10" fillId="2" borderId="0" xfId="0" applyNumberFormat="1" applyFont="1" applyFill="1" applyAlignment="1">
      <alignment horizontal="center"/>
    </xf>
    <xf numFmtId="0" fontId="10" fillId="2" borderId="0" xfId="0" applyNumberFormat="1" applyFont="1" applyFill="1" applyAlignment="1">
      <alignment horizontal="center"/>
    </xf>
    <xf numFmtId="0" fontId="10" fillId="2" borderId="0" xfId="0" applyNumberFormat="1" applyFont="1" applyFill="1" applyAlignment="1"/>
    <xf numFmtId="0" fontId="11" fillId="2" borderId="24" xfId="0" applyNumberFormat="1" applyFont="1" applyFill="1" applyBorder="1" applyAlignment="1">
      <alignment horizontal="center" vertical="center"/>
    </xf>
    <xf numFmtId="49" fontId="10" fillId="2" borderId="0" xfId="0" applyNumberFormat="1" applyFont="1" applyFill="1" applyBorder="1" applyAlignment="1">
      <alignment vertical="center"/>
    </xf>
    <xf numFmtId="0" fontId="10" fillId="2" borderId="0" xfId="0" applyFont="1" applyFill="1" applyBorder="1" applyAlignment="1">
      <alignment vertical="top"/>
    </xf>
    <xf numFmtId="0" fontId="10" fillId="2" borderId="0" xfId="0" applyFont="1" applyFill="1" applyBorder="1" applyAlignment="1">
      <alignment horizontal="center" vertical="center" wrapText="1"/>
    </xf>
    <xf numFmtId="49" fontId="10" fillId="2" borderId="0" xfId="0" applyNumberFormat="1" applyFont="1" applyFill="1" applyBorder="1" applyAlignment="1">
      <alignment horizontal="center" vertical="center"/>
    </xf>
    <xf numFmtId="49" fontId="10" fillId="2" borderId="0" xfId="0" applyNumberFormat="1" applyFont="1" applyFill="1"/>
    <xf numFmtId="0" fontId="11" fillId="2" borderId="7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/>
    </xf>
    <xf numFmtId="0" fontId="6" fillId="5" borderId="0" xfId="0" applyFont="1" applyFill="1"/>
    <xf numFmtId="0" fontId="7" fillId="5" borderId="0" xfId="0" applyFont="1" applyFill="1"/>
    <xf numFmtId="0" fontId="7" fillId="5" borderId="0" xfId="0" applyFont="1" applyFill="1" applyBorder="1"/>
    <xf numFmtId="0" fontId="11" fillId="2" borderId="3" xfId="0" applyFont="1" applyFill="1" applyBorder="1" applyAlignment="1">
      <alignment horizontal="center" vertical="center" wrapText="1"/>
    </xf>
    <xf numFmtId="0" fontId="11" fillId="2" borderId="0" xfId="0" applyNumberFormat="1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 vertical="center"/>
    </xf>
    <xf numFmtId="0" fontId="11" fillId="2" borderId="22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left" vertical="center"/>
    </xf>
    <xf numFmtId="0" fontId="11" fillId="2" borderId="6" xfId="0" applyFont="1" applyFill="1" applyBorder="1" applyAlignment="1">
      <alignment vertical="center"/>
    </xf>
    <xf numFmtId="0" fontId="10" fillId="2" borderId="24" xfId="0" applyNumberFormat="1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49" fontId="11" fillId="2" borderId="6" xfId="0" applyNumberFormat="1" applyFont="1" applyFill="1" applyBorder="1" applyAlignment="1">
      <alignment horizontal="center" vertical="center"/>
    </xf>
    <xf numFmtId="0" fontId="0" fillId="2" borderId="0" xfId="0" applyFill="1" applyBorder="1"/>
    <xf numFmtId="0" fontId="11" fillId="2" borderId="6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/>
    </xf>
    <xf numFmtId="0" fontId="10" fillId="2" borderId="1" xfId="0" applyFont="1" applyFill="1" applyBorder="1" applyAlignment="1">
      <alignment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49" fontId="10" fillId="3" borderId="1" xfId="0" applyNumberFormat="1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textRotation="90" wrapText="1"/>
    </xf>
    <xf numFmtId="0" fontId="10" fillId="2" borderId="0" xfId="0" applyFont="1" applyFill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/>
    </xf>
    <xf numFmtId="0" fontId="10" fillId="2" borderId="0" xfId="0" applyFont="1" applyFill="1" applyBorder="1" applyAlignment="1">
      <alignment horizontal="left" vertical="center"/>
    </xf>
    <xf numFmtId="0" fontId="10" fillId="2" borderId="0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 textRotation="90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/>
    </xf>
    <xf numFmtId="49" fontId="10" fillId="2" borderId="1" xfId="0" applyNumberFormat="1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16" fillId="3" borderId="1" xfId="0" applyFont="1" applyFill="1" applyBorder="1" applyAlignment="1">
      <alignment horizontal="center" vertical="center" wrapText="1"/>
    </xf>
    <xf numFmtId="0" fontId="10" fillId="3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NumberFormat="1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11" fillId="2" borderId="33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/>
    </xf>
    <xf numFmtId="0" fontId="10" fillId="2" borderId="0" xfId="0" applyFont="1" applyFill="1" applyBorder="1" applyAlignment="1">
      <alignment horizontal="left" vertical="center"/>
    </xf>
    <xf numFmtId="0" fontId="10" fillId="2" borderId="0" xfId="0" applyFont="1" applyFill="1" applyBorder="1" applyAlignment="1">
      <alignment horizontal="center" vertical="center"/>
    </xf>
    <xf numFmtId="0" fontId="10" fillId="2" borderId="21" xfId="0" applyFont="1" applyFill="1" applyBorder="1" applyAlignment="1">
      <alignment horizontal="center" vertical="center" textRotation="90" wrapText="1"/>
    </xf>
    <xf numFmtId="0" fontId="10" fillId="2" borderId="0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center" vertical="center" wrapText="1"/>
    </xf>
    <xf numFmtId="49" fontId="10" fillId="2" borderId="17" xfId="0" applyNumberFormat="1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/>
    </xf>
    <xf numFmtId="0" fontId="10" fillId="2" borderId="19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textRotation="90" wrapText="1"/>
    </xf>
    <xf numFmtId="0" fontId="15" fillId="2" borderId="6" xfId="0" applyFont="1" applyFill="1" applyBorder="1" applyAlignment="1">
      <alignment horizontal="left" vertical="center" wrapText="1"/>
    </xf>
    <xf numFmtId="0" fontId="10" fillId="2" borderId="6" xfId="0" applyFont="1" applyFill="1" applyBorder="1" applyAlignment="1">
      <alignment horizontal="left" vertical="center"/>
    </xf>
    <xf numFmtId="0" fontId="19" fillId="2" borderId="2" xfId="0" applyNumberFormat="1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/>
    <xf numFmtId="49" fontId="19" fillId="2" borderId="1" xfId="0" applyNumberFormat="1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vertical="center"/>
    </xf>
    <xf numFmtId="0" fontId="19" fillId="2" borderId="2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/>
    </xf>
    <xf numFmtId="0" fontId="19" fillId="2" borderId="1" xfId="0" applyFont="1" applyFill="1" applyBorder="1"/>
    <xf numFmtId="49" fontId="16" fillId="2" borderId="1" xfId="0" applyNumberFormat="1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/>
    </xf>
    <xf numFmtId="0" fontId="16" fillId="2" borderId="2" xfId="0" applyNumberFormat="1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/>
    </xf>
    <xf numFmtId="0" fontId="20" fillId="2" borderId="14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vertical="center"/>
    </xf>
    <xf numFmtId="0" fontId="20" fillId="2" borderId="27" xfId="0" applyFont="1" applyFill="1" applyBorder="1" applyAlignment="1">
      <alignment horizontal="center" vertical="center" wrapText="1"/>
    </xf>
    <xf numFmtId="0" fontId="20" fillId="2" borderId="28" xfId="0" applyFont="1" applyFill="1" applyBorder="1" applyAlignment="1">
      <alignment horizontal="center" vertical="center" wrapText="1"/>
    </xf>
    <xf numFmtId="0" fontId="16" fillId="2" borderId="0" xfId="0" applyFont="1" applyFill="1" applyBorder="1" applyAlignment="1">
      <alignment horizontal="center" vertical="center"/>
    </xf>
    <xf numFmtId="0" fontId="20" fillId="2" borderId="0" xfId="0" applyFont="1" applyFill="1" applyBorder="1" applyAlignment="1">
      <alignment horizontal="left" vertical="center"/>
    </xf>
    <xf numFmtId="0" fontId="20" fillId="2" borderId="0" xfId="0" applyFont="1" applyFill="1" applyBorder="1" applyAlignment="1">
      <alignment horizontal="center" vertical="center"/>
    </xf>
    <xf numFmtId="0" fontId="20" fillId="2" borderId="0" xfId="0" applyNumberFormat="1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vertical="center"/>
    </xf>
    <xf numFmtId="0" fontId="19" fillId="3" borderId="2" xfId="0" applyNumberFormat="1" applyFont="1" applyFill="1" applyBorder="1" applyAlignment="1">
      <alignment horizontal="center" vertical="center"/>
    </xf>
    <xf numFmtId="49" fontId="19" fillId="3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7" fillId="3" borderId="0" xfId="0" applyFont="1" applyFill="1"/>
    <xf numFmtId="0" fontId="7" fillId="3" borderId="0" xfId="0" applyFont="1" applyFill="1" applyBorder="1"/>
    <xf numFmtId="0" fontId="10" fillId="0" borderId="1" xfId="0" applyFont="1" applyFill="1" applyBorder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49" fontId="10" fillId="2" borderId="6" xfId="0" applyNumberFormat="1" applyFont="1" applyFill="1" applyBorder="1" applyAlignment="1">
      <alignment horizontal="center" vertical="center" wrapText="1"/>
    </xf>
    <xf numFmtId="0" fontId="21" fillId="3" borderId="0" xfId="0" applyFont="1" applyFill="1"/>
    <xf numFmtId="0" fontId="10" fillId="2" borderId="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22" fillId="2" borderId="0" xfId="0" applyFont="1" applyFill="1"/>
    <xf numFmtId="0" fontId="22" fillId="3" borderId="0" xfId="0" applyFont="1" applyFill="1"/>
    <xf numFmtId="0" fontId="22" fillId="3" borderId="0" xfId="0" applyFont="1" applyFill="1" applyBorder="1"/>
    <xf numFmtId="0" fontId="23" fillId="3" borderId="0" xfId="0" applyFont="1" applyFill="1" applyBorder="1"/>
    <xf numFmtId="0" fontId="22" fillId="2" borderId="0" xfId="0" applyFont="1" applyFill="1" applyBorder="1"/>
    <xf numFmtId="0" fontId="24" fillId="3" borderId="0" xfId="0" applyFont="1" applyFill="1"/>
    <xf numFmtId="0" fontId="25" fillId="3" borderId="0" xfId="0" applyFont="1" applyFill="1"/>
    <xf numFmtId="0" fontId="21" fillId="2" borderId="0" xfId="0" applyFont="1" applyFill="1"/>
    <xf numFmtId="0" fontId="16" fillId="3" borderId="1" xfId="0" applyFont="1" applyFill="1" applyBorder="1" applyAlignment="1">
      <alignment horizontal="center" vertical="center"/>
    </xf>
    <xf numFmtId="0" fontId="26" fillId="3" borderId="0" xfId="0" applyFont="1" applyFill="1"/>
    <xf numFmtId="0" fontId="27" fillId="3" borderId="0" xfId="0" applyFont="1" applyFill="1" applyBorder="1"/>
    <xf numFmtId="0" fontId="10" fillId="2" borderId="5" xfId="0" applyFont="1" applyFill="1" applyBorder="1" applyAlignment="1">
      <alignment horizontal="center" vertical="center" wrapText="1"/>
    </xf>
    <xf numFmtId="0" fontId="27" fillId="2" borderId="0" xfId="0" applyFont="1" applyFill="1"/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textRotation="90" wrapText="1"/>
    </xf>
    <xf numFmtId="0" fontId="11" fillId="2" borderId="27" xfId="0" applyFont="1" applyFill="1" applyBorder="1" applyAlignment="1">
      <alignment horizontal="center" vertical="center"/>
    </xf>
    <xf numFmtId="0" fontId="11" fillId="2" borderId="28" xfId="0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/>
    </xf>
    <xf numFmtId="0" fontId="11" fillId="2" borderId="0" xfId="0" applyFont="1" applyFill="1" applyBorder="1" applyAlignment="1">
      <alignment horizontal="center"/>
    </xf>
    <xf numFmtId="0" fontId="10" fillId="2" borderId="0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28" fillId="2" borderId="0" xfId="0" applyFont="1" applyFill="1"/>
    <xf numFmtId="0" fontId="28" fillId="2" borderId="0" xfId="0" applyFont="1" applyFill="1" applyBorder="1"/>
    <xf numFmtId="0" fontId="28" fillId="3" borderId="0" xfId="0" applyFont="1" applyFill="1"/>
    <xf numFmtId="0" fontId="10" fillId="3" borderId="6" xfId="0" applyNumberFormat="1" applyFont="1" applyFill="1" applyBorder="1" applyAlignment="1">
      <alignment horizontal="center" vertical="center"/>
    </xf>
    <xf numFmtId="0" fontId="22" fillId="0" borderId="0" xfId="0" applyFont="1"/>
    <xf numFmtId="0" fontId="22" fillId="2" borderId="1" xfId="0" applyFont="1" applyFill="1" applyBorder="1"/>
    <xf numFmtId="0" fontId="22" fillId="3" borderId="1" xfId="0" applyFont="1" applyFill="1" applyBorder="1"/>
    <xf numFmtId="0" fontId="22" fillId="6" borderId="1" xfId="0" applyFont="1" applyFill="1" applyBorder="1"/>
    <xf numFmtId="0" fontId="0" fillId="4" borderId="1" xfId="0" applyFill="1" applyBorder="1"/>
    <xf numFmtId="0" fontId="22" fillId="8" borderId="1" xfId="0" applyFont="1" applyFill="1" applyBorder="1"/>
    <xf numFmtId="0" fontId="10" fillId="6" borderId="0" xfId="0" applyFont="1" applyFill="1" applyBorder="1" applyAlignment="1">
      <alignment horizontal="center" vertical="center"/>
    </xf>
    <xf numFmtId="0" fontId="10" fillId="6" borderId="0" xfId="0" applyFont="1" applyFill="1" applyBorder="1" applyAlignment="1">
      <alignment horizontal="center" vertical="center" wrapText="1"/>
    </xf>
    <xf numFmtId="49" fontId="10" fillId="6" borderId="0" xfId="0" applyNumberFormat="1" applyFont="1" applyFill="1" applyBorder="1" applyAlignment="1">
      <alignment horizontal="center" vertical="center" wrapText="1"/>
    </xf>
    <xf numFmtId="0" fontId="27" fillId="3" borderId="0" xfId="0" applyFont="1" applyFill="1"/>
    <xf numFmtId="0" fontId="11" fillId="0" borderId="5" xfId="0" applyFont="1" applyFill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/>
    </xf>
    <xf numFmtId="0" fontId="11" fillId="0" borderId="20" xfId="0" applyFont="1" applyFill="1" applyBorder="1" applyAlignment="1">
      <alignment horizontal="center" vertical="center"/>
    </xf>
    <xf numFmtId="0" fontId="22" fillId="0" borderId="0" xfId="0" applyFont="1" applyFill="1"/>
    <xf numFmtId="0" fontId="0" fillId="0" borderId="0" xfId="0" applyFill="1"/>
    <xf numFmtId="0" fontId="10" fillId="0" borderId="1" xfId="0" applyFont="1" applyFill="1" applyBorder="1" applyAlignment="1">
      <alignment horizontal="center"/>
    </xf>
    <xf numFmtId="0" fontId="10" fillId="0" borderId="1" xfId="0" applyFont="1" applyFill="1" applyBorder="1"/>
    <xf numFmtId="0" fontId="10" fillId="0" borderId="2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left"/>
    </xf>
    <xf numFmtId="0" fontId="0" fillId="0" borderId="1" xfId="0" applyFill="1" applyBorder="1"/>
    <xf numFmtId="0" fontId="6" fillId="0" borderId="0" xfId="0" applyFont="1" applyFill="1"/>
    <xf numFmtId="49" fontId="10" fillId="0" borderId="21" xfId="0" applyNumberFormat="1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1" xfId="0" applyFont="1" applyFill="1" applyBorder="1"/>
    <xf numFmtId="0" fontId="10" fillId="0" borderId="22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/>
    <xf numFmtId="0" fontId="10" fillId="0" borderId="1" xfId="0" applyNumberFormat="1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left" vertical="center" wrapText="1"/>
    </xf>
    <xf numFmtId="49" fontId="10" fillId="0" borderId="17" xfId="0" applyNumberFormat="1" applyFont="1" applyFill="1" applyBorder="1" applyAlignment="1">
      <alignment horizontal="center" vertical="center" wrapText="1"/>
    </xf>
    <xf numFmtId="0" fontId="10" fillId="0" borderId="17" xfId="0" applyFont="1" applyFill="1" applyBorder="1" applyAlignment="1">
      <alignment horizontal="center" vertical="center"/>
    </xf>
    <xf numFmtId="0" fontId="10" fillId="0" borderId="17" xfId="0" applyFont="1" applyFill="1" applyBorder="1" applyAlignment="1">
      <alignment horizontal="center" vertical="center" wrapText="1"/>
    </xf>
    <xf numFmtId="0" fontId="10" fillId="0" borderId="17" xfId="0" applyFont="1" applyFill="1" applyBorder="1" applyAlignment="1"/>
    <xf numFmtId="0" fontId="10" fillId="0" borderId="18" xfId="0" applyNumberFormat="1" applyFont="1" applyFill="1" applyBorder="1" applyAlignment="1">
      <alignment horizontal="center" vertical="center"/>
    </xf>
    <xf numFmtId="0" fontId="10" fillId="0" borderId="19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1" fontId="10" fillId="0" borderId="1" xfId="0" applyNumberFormat="1" applyFont="1" applyFill="1" applyBorder="1" applyAlignment="1">
      <alignment horizontal="center" vertical="center"/>
    </xf>
    <xf numFmtId="0" fontId="7" fillId="0" borderId="0" xfId="0" applyFont="1" applyFill="1" applyBorder="1"/>
    <xf numFmtId="0" fontId="11" fillId="0" borderId="1" xfId="0" applyFont="1" applyFill="1" applyBorder="1" applyAlignment="1">
      <alignment horizontal="center" vertical="center"/>
    </xf>
    <xf numFmtId="0" fontId="7" fillId="0" borderId="0" xfId="0" applyFont="1" applyFill="1"/>
    <xf numFmtId="0" fontId="11" fillId="0" borderId="7" xfId="0" applyFont="1" applyFill="1" applyBorder="1" applyAlignment="1">
      <alignment horizontal="center" vertical="center" wrapText="1"/>
    </xf>
    <xf numFmtId="0" fontId="11" fillId="0" borderId="23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28" fillId="0" borderId="0" xfId="0" applyFont="1" applyFill="1"/>
    <xf numFmtId="0" fontId="22" fillId="0" borderId="0" xfId="0" applyFont="1" applyFill="1" applyBorder="1"/>
    <xf numFmtId="0" fontId="23" fillId="0" borderId="0" xfId="0" applyFont="1" applyFill="1" applyBorder="1"/>
    <xf numFmtId="0" fontId="28" fillId="0" borderId="0" xfId="0" applyFont="1" applyFill="1" applyBorder="1"/>
    <xf numFmtId="0" fontId="10" fillId="0" borderId="1" xfId="0" applyFont="1" applyFill="1" applyBorder="1" applyAlignment="1">
      <alignment vertical="center" wrapText="1"/>
    </xf>
    <xf numFmtId="0" fontId="25" fillId="0" borderId="0" xfId="0" applyFont="1" applyFill="1"/>
    <xf numFmtId="0" fontId="24" fillId="0" borderId="0" xfId="0" applyFont="1" applyFill="1"/>
    <xf numFmtId="0" fontId="10" fillId="0" borderId="6" xfId="0" applyFont="1" applyFill="1" applyBorder="1" applyAlignment="1">
      <alignment horizontal="center" vertical="center"/>
    </xf>
    <xf numFmtId="0" fontId="10" fillId="0" borderId="6" xfId="0" applyFont="1" applyFill="1" applyBorder="1" applyAlignment="1"/>
    <xf numFmtId="0" fontId="14" fillId="0" borderId="0" xfId="0" applyFont="1" applyFill="1"/>
    <xf numFmtId="0" fontId="10" fillId="2" borderId="17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vertical="center" wrapText="1"/>
    </xf>
    <xf numFmtId="0" fontId="10" fillId="2" borderId="0" xfId="0" applyFont="1" applyFill="1" applyBorder="1" applyAlignment="1">
      <alignment horizontal="left" vertical="center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0" fillId="2" borderId="6" xfId="0" applyFont="1" applyFill="1" applyBorder="1" applyAlignment="1">
      <alignment horizontal="left" vertical="center" wrapText="1"/>
    </xf>
    <xf numFmtId="0" fontId="10" fillId="2" borderId="7" xfId="0" applyFont="1" applyFill="1" applyBorder="1" applyAlignment="1">
      <alignment horizontal="left" vertical="center" wrapText="1"/>
    </xf>
    <xf numFmtId="0" fontId="10" fillId="2" borderId="17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/>
    </xf>
    <xf numFmtId="0" fontId="16" fillId="2" borderId="7" xfId="0" applyFont="1" applyFill="1" applyBorder="1" applyAlignment="1">
      <alignment horizontal="left" vertical="center" wrapText="1"/>
    </xf>
    <xf numFmtId="0" fontId="16" fillId="2" borderId="4" xfId="0" applyFont="1" applyFill="1" applyBorder="1" applyAlignment="1">
      <alignment horizontal="left" vertical="center" wrapText="1"/>
    </xf>
    <xf numFmtId="0" fontId="16" fillId="2" borderId="6" xfId="0" applyFont="1" applyFill="1" applyBorder="1" applyAlignment="1">
      <alignment horizontal="left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left" vertical="center" wrapText="1"/>
    </xf>
    <xf numFmtId="0" fontId="17" fillId="2" borderId="7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/>
    </xf>
    <xf numFmtId="0" fontId="27" fillId="6" borderId="0" xfId="0" applyFont="1" applyFill="1" applyBorder="1"/>
    <xf numFmtId="0" fontId="6" fillId="6" borderId="0" xfId="0" applyFont="1" applyFill="1" applyBorder="1"/>
    <xf numFmtId="0" fontId="16" fillId="6" borderId="1" xfId="0" applyFont="1" applyFill="1" applyBorder="1" applyAlignment="1">
      <alignment horizontal="center" vertical="center"/>
    </xf>
    <xf numFmtId="0" fontId="10" fillId="2" borderId="38" xfId="0" applyFont="1" applyFill="1" applyBorder="1" applyAlignment="1">
      <alignment horizontal="left" vertical="center" wrapText="1"/>
    </xf>
    <xf numFmtId="0" fontId="10" fillId="2" borderId="21" xfId="0" applyFont="1" applyFill="1" applyBorder="1" applyAlignment="1">
      <alignment horizontal="center" vertical="center" wrapText="1"/>
    </xf>
    <xf numFmtId="0" fontId="10" fillId="2" borderId="17" xfId="0" applyFont="1" applyFill="1" applyBorder="1" applyAlignment="1">
      <alignment vertical="center" wrapText="1"/>
    </xf>
    <xf numFmtId="0" fontId="10" fillId="2" borderId="0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 wrapText="1"/>
    </xf>
    <xf numFmtId="0" fontId="10" fillId="2" borderId="7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left" vertical="center" wrapText="1"/>
    </xf>
    <xf numFmtId="0" fontId="10" fillId="0" borderId="4" xfId="0" applyFont="1" applyFill="1" applyBorder="1" applyAlignment="1">
      <alignment horizontal="left" vertical="center" wrapText="1"/>
    </xf>
    <xf numFmtId="0" fontId="15" fillId="2" borderId="6" xfId="0" applyFont="1" applyFill="1" applyBorder="1" applyAlignment="1">
      <alignment horizontal="left" vertical="center" wrapText="1"/>
    </xf>
    <xf numFmtId="0" fontId="10" fillId="2" borderId="17" xfId="0" applyFont="1" applyFill="1" applyBorder="1" applyAlignment="1">
      <alignment horizontal="left" vertical="center" wrapText="1"/>
    </xf>
    <xf numFmtId="0" fontId="16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/>
    </xf>
    <xf numFmtId="0" fontId="16" fillId="2" borderId="4" xfId="0" applyFont="1" applyFill="1" applyBorder="1" applyAlignment="1">
      <alignment horizontal="left" vertical="center" wrapText="1"/>
    </xf>
    <xf numFmtId="0" fontId="16" fillId="2" borderId="6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vertical="center" wrapText="1"/>
    </xf>
    <xf numFmtId="0" fontId="10" fillId="0" borderId="7" xfId="0" applyFont="1" applyFill="1" applyBorder="1" applyAlignment="1">
      <alignment vertical="center" wrapText="1"/>
    </xf>
    <xf numFmtId="0" fontId="16" fillId="0" borderId="6" xfId="0" applyFont="1" applyFill="1" applyBorder="1" applyAlignment="1">
      <alignment horizontal="left" vertical="center" wrapText="1"/>
    </xf>
    <xf numFmtId="0" fontId="16" fillId="0" borderId="4" xfId="0" applyFont="1" applyFill="1" applyBorder="1" applyAlignment="1">
      <alignment horizontal="left" vertical="center" wrapText="1"/>
    </xf>
    <xf numFmtId="0" fontId="15" fillId="0" borderId="1" xfId="0" applyFont="1" applyFill="1" applyBorder="1" applyAlignment="1">
      <alignment vertical="center" wrapText="1"/>
    </xf>
    <xf numFmtId="0" fontId="10" fillId="0" borderId="4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vertical="center"/>
    </xf>
    <xf numFmtId="0" fontId="10" fillId="2" borderId="6" xfId="0" applyFont="1" applyFill="1" applyBorder="1" applyAlignment="1">
      <alignment vertical="center" wrapText="1"/>
    </xf>
    <xf numFmtId="0" fontId="10" fillId="0" borderId="6" xfId="14" applyFont="1" applyFill="1" applyBorder="1" applyAlignment="1">
      <alignment horizontal="left" vertical="center" wrapText="1"/>
    </xf>
    <xf numFmtId="0" fontId="10" fillId="0" borderId="4" xfId="14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left" vertical="center"/>
    </xf>
    <xf numFmtId="0" fontId="10" fillId="0" borderId="6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1" fillId="2" borderId="0" xfId="0" applyFont="1" applyFill="1" applyBorder="1" applyAlignment="1">
      <alignment horizontal="center"/>
    </xf>
    <xf numFmtId="0" fontId="10" fillId="2" borderId="17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vertical="center" wrapText="1"/>
    </xf>
    <xf numFmtId="0" fontId="16" fillId="0" borderId="1" xfId="0" applyFont="1" applyFill="1" applyBorder="1" applyAlignment="1">
      <alignment vertical="center" wrapText="1"/>
    </xf>
    <xf numFmtId="0" fontId="10" fillId="0" borderId="17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horizontal="left" vertical="center" wrapText="1"/>
    </xf>
    <xf numFmtId="0" fontId="10" fillId="0" borderId="7" xfId="0" applyFont="1" applyFill="1" applyBorder="1" applyAlignment="1">
      <alignment horizontal="left" vertical="center" wrapText="1"/>
    </xf>
    <xf numFmtId="0" fontId="10" fillId="0" borderId="4" xfId="0" applyFont="1" applyFill="1" applyBorder="1" applyAlignment="1">
      <alignment horizontal="left" vertical="center" wrapText="1"/>
    </xf>
    <xf numFmtId="0" fontId="10" fillId="2" borderId="17" xfId="0" applyFont="1" applyFill="1" applyBorder="1" applyAlignment="1">
      <alignment horizontal="left" vertical="center" wrapText="1"/>
    </xf>
    <xf numFmtId="0" fontId="16" fillId="0" borderId="1" xfId="0" applyFont="1" applyFill="1" applyBorder="1" applyAlignment="1">
      <alignment horizontal="left" vertical="center" wrapText="1"/>
    </xf>
    <xf numFmtId="0" fontId="7" fillId="0" borderId="6" xfId="0" applyFont="1" applyFill="1" applyBorder="1" applyAlignment="1">
      <alignment horizontal="left" vertical="center" wrapText="1"/>
    </xf>
    <xf numFmtId="0" fontId="7" fillId="0" borderId="7" xfId="0" applyFont="1" applyFill="1" applyBorder="1" applyAlignment="1">
      <alignment horizontal="left" vertical="center" wrapText="1"/>
    </xf>
    <xf numFmtId="0" fontId="7" fillId="0" borderId="4" xfId="0" applyFont="1" applyFill="1" applyBorder="1" applyAlignment="1">
      <alignment horizontal="left"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left" vertical="center" wrapText="1"/>
    </xf>
    <xf numFmtId="0" fontId="10" fillId="0" borderId="7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6" fillId="0" borderId="6" xfId="0" applyFont="1" applyFill="1" applyBorder="1" applyAlignment="1">
      <alignment horizontal="left" vertical="center" wrapText="1"/>
    </xf>
    <xf numFmtId="0" fontId="16" fillId="0" borderId="4" xfId="0" applyFont="1" applyFill="1" applyBorder="1" applyAlignment="1">
      <alignment horizontal="left" vertical="center" wrapText="1"/>
    </xf>
    <xf numFmtId="165" fontId="10" fillId="0" borderId="2" xfId="0" applyNumberFormat="1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left" vertical="center" wrapText="1"/>
    </xf>
    <xf numFmtId="165" fontId="10" fillId="0" borderId="1" xfId="0" applyNumberFormat="1" applyFont="1" applyFill="1" applyBorder="1"/>
    <xf numFmtId="0" fontId="10" fillId="2" borderId="0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/>
    </xf>
    <xf numFmtId="0" fontId="10" fillId="2" borderId="19" xfId="0" applyFont="1" applyFill="1" applyBorder="1" applyAlignment="1">
      <alignment horizontal="center" vertical="center" wrapText="1"/>
    </xf>
    <xf numFmtId="0" fontId="10" fillId="2" borderId="17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horizontal="center" vertical="center" textRotation="90" wrapText="1"/>
    </xf>
    <xf numFmtId="0" fontId="11" fillId="2" borderId="27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left" vertical="center"/>
    </xf>
    <xf numFmtId="0" fontId="10" fillId="0" borderId="6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left" vertical="center" wrapText="1"/>
    </xf>
    <xf numFmtId="0" fontId="10" fillId="0" borderId="7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center" vertical="center"/>
    </xf>
    <xf numFmtId="0" fontId="11" fillId="2" borderId="28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11" fillId="2" borderId="26" xfId="0" applyFont="1" applyFill="1" applyBorder="1" applyAlignment="1">
      <alignment horizontal="center" vertical="center"/>
    </xf>
    <xf numFmtId="0" fontId="11" fillId="2" borderId="27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left" vertical="center"/>
    </xf>
    <xf numFmtId="0" fontId="10" fillId="0" borderId="6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10" fillId="2" borderId="19" xfId="0" applyFont="1" applyFill="1" applyBorder="1" applyAlignment="1">
      <alignment horizontal="center" vertical="center" wrapText="1"/>
    </xf>
    <xf numFmtId="0" fontId="10" fillId="0" borderId="13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left" vertical="center" wrapText="1"/>
    </xf>
    <xf numFmtId="0" fontId="10" fillId="0" borderId="7" xfId="0" applyFont="1" applyFill="1" applyBorder="1" applyAlignment="1">
      <alignment horizontal="left" vertical="center" wrapText="1"/>
    </xf>
    <xf numFmtId="0" fontId="11" fillId="2" borderId="5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20" xfId="0" applyFont="1" applyFill="1" applyBorder="1" applyAlignment="1">
      <alignment horizontal="center" vertical="center"/>
    </xf>
    <xf numFmtId="0" fontId="10" fillId="0" borderId="19" xfId="0" applyFont="1" applyFill="1" applyBorder="1" applyAlignment="1">
      <alignment horizontal="center" vertical="center" wrapText="1"/>
    </xf>
    <xf numFmtId="0" fontId="10" fillId="2" borderId="17" xfId="0" applyFont="1" applyFill="1" applyBorder="1" applyAlignment="1">
      <alignment horizontal="center" vertical="center" textRotation="90" wrapText="1"/>
    </xf>
    <xf numFmtId="0" fontId="10" fillId="2" borderId="1" xfId="0" applyFont="1" applyFill="1" applyBorder="1" applyAlignment="1">
      <alignment horizontal="center" vertical="center" textRotation="90" wrapText="1"/>
    </xf>
    <xf numFmtId="0" fontId="10" fillId="2" borderId="17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 vertical="center" wrapText="1"/>
    </xf>
    <xf numFmtId="0" fontId="10" fillId="2" borderId="17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vertical="center" wrapText="1"/>
    </xf>
    <xf numFmtId="0" fontId="10" fillId="2" borderId="18" xfId="0" applyNumberFormat="1" applyFont="1" applyFill="1" applyBorder="1" applyAlignment="1">
      <alignment horizontal="center" vertical="center" textRotation="90" wrapText="1"/>
    </xf>
    <xf numFmtId="0" fontId="10" fillId="2" borderId="2" xfId="0" applyNumberFormat="1" applyFont="1" applyFill="1" applyBorder="1" applyAlignment="1">
      <alignment horizontal="center" vertical="center" textRotation="90" wrapText="1"/>
    </xf>
    <xf numFmtId="0" fontId="10" fillId="0" borderId="19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vertical="center" wrapText="1"/>
    </xf>
    <xf numFmtId="0" fontId="16" fillId="0" borderId="1" xfId="0" applyFont="1" applyFill="1" applyBorder="1" applyAlignment="1">
      <alignment vertical="center" wrapText="1"/>
    </xf>
    <xf numFmtId="0" fontId="11" fillId="0" borderId="8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11" fillId="2" borderId="28" xfId="0" applyFont="1" applyFill="1" applyBorder="1" applyAlignment="1">
      <alignment horizontal="center" vertical="center"/>
    </xf>
    <xf numFmtId="0" fontId="10" fillId="0" borderId="16" xfId="0" applyFont="1" applyFill="1" applyBorder="1" applyAlignment="1">
      <alignment horizontal="center" vertical="center"/>
    </xf>
    <xf numFmtId="0" fontId="10" fillId="0" borderId="17" xfId="0" applyFont="1" applyFill="1" applyBorder="1" applyAlignment="1">
      <alignment vertical="center" wrapText="1"/>
    </xf>
    <xf numFmtId="0" fontId="10" fillId="0" borderId="4" xfId="0" applyFont="1" applyFill="1" applyBorder="1" applyAlignment="1">
      <alignment horizontal="left" vertical="center" wrapText="1"/>
    </xf>
    <xf numFmtId="49" fontId="10" fillId="2" borderId="17" xfId="0" applyNumberFormat="1" applyFont="1" applyFill="1" applyBorder="1" applyAlignment="1">
      <alignment horizontal="center" vertical="center" textRotation="90" wrapText="1"/>
    </xf>
    <xf numFmtId="49" fontId="10" fillId="2" borderId="1" xfId="0" applyNumberFormat="1" applyFont="1" applyFill="1" applyBorder="1" applyAlignment="1">
      <alignment horizontal="center" vertical="center" textRotation="90" wrapText="1"/>
    </xf>
    <xf numFmtId="0" fontId="11" fillId="2" borderId="9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5" fillId="2" borderId="6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/>
    </xf>
    <xf numFmtId="0" fontId="10" fillId="2" borderId="17" xfId="0" applyFont="1" applyFill="1" applyBorder="1" applyAlignment="1">
      <alignment horizontal="left" vertical="center" wrapText="1"/>
    </xf>
    <xf numFmtId="0" fontId="16" fillId="0" borderId="1" xfId="0" applyFont="1" applyFill="1" applyBorder="1" applyAlignment="1">
      <alignment horizontal="left" vertical="center" wrapText="1"/>
    </xf>
    <xf numFmtId="0" fontId="11" fillId="2" borderId="30" xfId="0" applyFont="1" applyFill="1" applyBorder="1" applyAlignment="1">
      <alignment horizontal="center" vertical="center"/>
    </xf>
    <xf numFmtId="0" fontId="11" fillId="2" borderId="31" xfId="0" applyFont="1" applyFill="1" applyBorder="1" applyAlignment="1">
      <alignment horizontal="center" vertical="center"/>
    </xf>
    <xf numFmtId="0" fontId="11" fillId="2" borderId="32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1" fillId="2" borderId="19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left" vertical="center" wrapText="1"/>
    </xf>
    <xf numFmtId="0" fontId="7" fillId="0" borderId="7" xfId="0" applyFont="1" applyFill="1" applyBorder="1" applyAlignment="1">
      <alignment horizontal="left" vertical="center" wrapText="1"/>
    </xf>
    <xf numFmtId="0" fontId="7" fillId="0" borderId="4" xfId="0" applyFont="1" applyFill="1" applyBorder="1" applyAlignment="1">
      <alignment horizontal="left" vertical="center" wrapText="1"/>
    </xf>
    <xf numFmtId="0" fontId="15" fillId="2" borderId="6" xfId="0" applyFont="1" applyFill="1" applyBorder="1" applyAlignment="1">
      <alignment horizontal="left" vertical="center" wrapText="1"/>
    </xf>
    <xf numFmtId="0" fontId="15" fillId="2" borderId="7" xfId="0" applyFont="1" applyFill="1" applyBorder="1" applyAlignment="1">
      <alignment horizontal="left" vertical="center" wrapText="1"/>
    </xf>
    <xf numFmtId="0" fontId="15" fillId="2" borderId="4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/>
    </xf>
    <xf numFmtId="0" fontId="16" fillId="2" borderId="15" xfId="0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horizontal="center" vertical="center"/>
    </xf>
    <xf numFmtId="0" fontId="16" fillId="2" borderId="27" xfId="0" applyFont="1" applyFill="1" applyBorder="1" applyAlignment="1">
      <alignment horizontal="left" vertical="center" wrapText="1"/>
    </xf>
    <xf numFmtId="0" fontId="16" fillId="2" borderId="7" xfId="0" applyFont="1" applyFill="1" applyBorder="1" applyAlignment="1">
      <alignment horizontal="left" vertical="center" wrapText="1"/>
    </xf>
    <xf numFmtId="0" fontId="16" fillId="2" borderId="4" xfId="0" applyFont="1" applyFill="1" applyBorder="1" applyAlignment="1">
      <alignment horizontal="left" vertical="center" wrapText="1"/>
    </xf>
    <xf numFmtId="0" fontId="16" fillId="2" borderId="1" xfId="0" applyFont="1" applyFill="1" applyBorder="1" applyAlignment="1">
      <alignment horizontal="left" vertical="center" wrapText="1"/>
    </xf>
    <xf numFmtId="0" fontId="10" fillId="2" borderId="6" xfId="0" applyFont="1" applyFill="1" applyBorder="1" applyAlignment="1">
      <alignment horizontal="left" vertical="center" wrapText="1"/>
    </xf>
    <xf numFmtId="0" fontId="10" fillId="2" borderId="7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6" fillId="2" borderId="6" xfId="0" applyFont="1" applyFill="1" applyBorder="1" applyAlignment="1">
      <alignment horizontal="left" vertical="center" wrapText="1"/>
    </xf>
    <xf numFmtId="0" fontId="20" fillId="2" borderId="9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/>
    </xf>
    <xf numFmtId="0" fontId="20" fillId="2" borderId="14" xfId="0" applyFont="1" applyFill="1" applyBorder="1" applyAlignment="1">
      <alignment horizontal="center" vertical="center"/>
    </xf>
    <xf numFmtId="0" fontId="16" fillId="2" borderId="26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10" fillId="2" borderId="18" xfId="0" applyNumberFormat="1" applyFont="1" applyFill="1" applyBorder="1" applyAlignment="1">
      <alignment horizontal="center" textRotation="90" wrapText="1"/>
    </xf>
    <xf numFmtId="0" fontId="10" fillId="2" borderId="2" xfId="0" applyNumberFormat="1" applyFont="1" applyFill="1" applyBorder="1" applyAlignment="1">
      <alignment horizontal="center" textRotation="90" wrapText="1"/>
    </xf>
    <xf numFmtId="0" fontId="10" fillId="2" borderId="17" xfId="0" applyFont="1" applyFill="1" applyBorder="1" applyAlignment="1">
      <alignment horizontal="center" textRotation="90" wrapText="1"/>
    </xf>
    <xf numFmtId="0" fontId="10" fillId="2" borderId="1" xfId="0" applyFont="1" applyFill="1" applyBorder="1" applyAlignment="1">
      <alignment horizontal="center" textRotation="90" wrapText="1"/>
    </xf>
    <xf numFmtId="0" fontId="20" fillId="2" borderId="26" xfId="0" applyFont="1" applyFill="1" applyBorder="1" applyAlignment="1">
      <alignment horizontal="center" vertical="center"/>
    </xf>
    <xf numFmtId="0" fontId="20" fillId="2" borderId="27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left" vertical="center" wrapText="1"/>
    </xf>
    <xf numFmtId="0" fontId="10" fillId="2" borderId="19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 wrapText="1"/>
    </xf>
    <xf numFmtId="0" fontId="16" fillId="2" borderId="19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6" fillId="2" borderId="27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11" fillId="2" borderId="34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0" fontId="11" fillId="2" borderId="36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10" fillId="2" borderId="25" xfId="0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left" vertical="center" wrapText="1"/>
    </xf>
    <xf numFmtId="0" fontId="10" fillId="2" borderId="21" xfId="0" applyFont="1" applyFill="1" applyBorder="1" applyAlignment="1">
      <alignment horizontal="center" vertical="center" textRotation="90" wrapText="1"/>
    </xf>
    <xf numFmtId="0" fontId="10" fillId="2" borderId="21" xfId="0" applyFont="1" applyFill="1" applyBorder="1" applyAlignment="1">
      <alignment horizontal="center" textRotation="90" wrapText="1"/>
    </xf>
    <xf numFmtId="0" fontId="10" fillId="2" borderId="22" xfId="0" applyNumberFormat="1" applyFont="1" applyFill="1" applyBorder="1" applyAlignment="1">
      <alignment horizontal="center" textRotation="90" wrapText="1"/>
    </xf>
    <xf numFmtId="0" fontId="11" fillId="2" borderId="8" xfId="0" applyFont="1" applyFill="1" applyBorder="1" applyAlignment="1">
      <alignment horizontal="center" vertical="center"/>
    </xf>
    <xf numFmtId="0" fontId="16" fillId="0" borderId="6" xfId="0" applyFont="1" applyFill="1" applyBorder="1" applyAlignment="1">
      <alignment horizontal="left" vertical="center" wrapText="1"/>
    </xf>
    <xf numFmtId="0" fontId="16" fillId="0" borderId="7" xfId="0" applyFont="1" applyFill="1" applyBorder="1" applyAlignment="1">
      <alignment horizontal="left" vertical="center" wrapText="1"/>
    </xf>
    <xf numFmtId="0" fontId="16" fillId="0" borderId="4" xfId="0" applyFont="1" applyFill="1" applyBorder="1" applyAlignment="1">
      <alignment horizontal="left" vertical="center" wrapText="1"/>
    </xf>
    <xf numFmtId="0" fontId="17" fillId="2" borderId="6" xfId="0" applyFont="1" applyFill="1" applyBorder="1" applyAlignment="1">
      <alignment horizontal="left" vertical="center" wrapText="1"/>
    </xf>
    <xf numFmtId="0" fontId="17" fillId="2" borderId="7" xfId="0" applyFont="1" applyFill="1" applyBorder="1" applyAlignment="1">
      <alignment horizontal="left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0" fillId="2" borderId="27" xfId="0" applyFont="1" applyFill="1" applyBorder="1" applyAlignment="1">
      <alignment horizontal="center" vertical="center" wrapText="1"/>
    </xf>
    <xf numFmtId="0" fontId="10" fillId="0" borderId="6" xfId="14" applyFont="1" applyFill="1" applyBorder="1" applyAlignment="1">
      <alignment horizontal="left" vertical="center" wrapText="1"/>
    </xf>
    <xf numFmtId="0" fontId="10" fillId="0" borderId="4" xfId="14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vertical="center" wrapText="1"/>
    </xf>
    <xf numFmtId="0" fontId="10" fillId="0" borderId="7" xfId="0" applyFont="1" applyFill="1" applyBorder="1" applyAlignment="1">
      <alignment vertical="center" wrapText="1"/>
    </xf>
    <xf numFmtId="0" fontId="10" fillId="0" borderId="4" xfId="0" applyFont="1" applyFill="1" applyBorder="1" applyAlignment="1">
      <alignment vertical="center" wrapText="1"/>
    </xf>
    <xf numFmtId="0" fontId="10" fillId="2" borderId="6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vertical="center" wrapText="1"/>
    </xf>
    <xf numFmtId="0" fontId="10" fillId="2" borderId="6" xfId="0" applyFont="1" applyFill="1" applyBorder="1" applyAlignment="1">
      <alignment horizontal="center" vertical="center" textRotation="90" wrapText="1"/>
    </xf>
    <xf numFmtId="0" fontId="10" fillId="2" borderId="6" xfId="0" applyFont="1" applyFill="1" applyBorder="1" applyAlignment="1">
      <alignment horizontal="center" textRotation="90" wrapText="1"/>
    </xf>
    <xf numFmtId="0" fontId="10" fillId="2" borderId="24" xfId="0" applyNumberFormat="1" applyFont="1" applyFill="1" applyBorder="1" applyAlignment="1">
      <alignment horizontal="center" textRotation="90" wrapText="1"/>
    </xf>
    <xf numFmtId="0" fontId="11" fillId="2" borderId="14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vertical="center" wrapText="1"/>
    </xf>
    <xf numFmtId="0" fontId="10" fillId="0" borderId="27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vertical="center"/>
    </xf>
    <xf numFmtId="0" fontId="16" fillId="2" borderId="6" xfId="0" applyFont="1" applyFill="1" applyBorder="1" applyAlignment="1">
      <alignment vertical="center" wrapText="1"/>
    </xf>
    <xf numFmtId="0" fontId="16" fillId="2" borderId="4" xfId="0" applyFont="1" applyFill="1" applyBorder="1" applyAlignment="1">
      <alignment vertical="center" wrapText="1"/>
    </xf>
    <xf numFmtId="0" fontId="10" fillId="2" borderId="37" xfId="0" applyFont="1" applyFill="1" applyBorder="1" applyAlignment="1">
      <alignment horizontal="left" vertical="center" wrapText="1"/>
    </xf>
    <xf numFmtId="0" fontId="10" fillId="2" borderId="29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0" fillId="2" borderId="7" xfId="0" applyFont="1" applyFill="1" applyBorder="1" applyAlignment="1">
      <alignment vertical="center" wrapText="1"/>
    </xf>
    <xf numFmtId="0" fontId="10" fillId="2" borderId="26" xfId="0" applyFont="1" applyFill="1" applyBorder="1" applyAlignment="1">
      <alignment horizontal="center" vertical="center"/>
    </xf>
    <xf numFmtId="0" fontId="10" fillId="2" borderId="27" xfId="0" applyFont="1" applyFill="1" applyBorder="1" applyAlignment="1">
      <alignment horizontal="left" vertical="center" wrapText="1"/>
    </xf>
    <xf numFmtId="0" fontId="16" fillId="2" borderId="13" xfId="0" applyFont="1" applyFill="1" applyBorder="1" applyAlignment="1">
      <alignment horizontal="center" vertical="center" wrapText="1"/>
    </xf>
  </cellXfs>
  <cellStyles count="20">
    <cellStyle name="Обычный" xfId="0" builtinId="0"/>
    <cellStyle name="Обычный 10" xfId="11"/>
    <cellStyle name="Обычный 11" xfId="12"/>
    <cellStyle name="Обычный 2" xfId="1"/>
    <cellStyle name="Обычный 2 2" xfId="2"/>
    <cellStyle name="Обычный 2_Ф1,2,3,4 ТЭиС 28.08.2012" xfId="3"/>
    <cellStyle name="Обычный 3" xfId="4"/>
    <cellStyle name="Обычный 5" xfId="7"/>
    <cellStyle name="Обычный 5 2" xfId="16"/>
    <cellStyle name="Обычный 6" xfId="13"/>
    <cellStyle name="Обычный 7" xfId="10"/>
    <cellStyle name="Обычный 7 2" xfId="17"/>
    <cellStyle name="Обычный 8" xfId="8"/>
    <cellStyle name="Обычный 9" xfId="9"/>
    <cellStyle name="Обычный 9 2" xfId="15"/>
    <cellStyle name="Обычный 9 2 2" xfId="18"/>
    <cellStyle name="Обычный 9 2 3" xfId="19"/>
    <cellStyle name="Обычный_Приложение_РУП_1 курс ПС 2" xfId="14"/>
    <cellStyle name="Процентный 2" xfId="5"/>
    <cellStyle name="Финансовый 2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K394"/>
  <sheetViews>
    <sheetView showGridLines="0" tabSelected="1" view="pageBreakPreview" zoomScale="52" zoomScaleNormal="56" zoomScaleSheetLayoutView="52" workbookViewId="0">
      <selection activeCell="L204" sqref="L204"/>
    </sheetView>
  </sheetViews>
  <sheetFormatPr defaultRowHeight="18.75" x14ac:dyDescent="0.3"/>
  <cols>
    <col min="1" max="1" width="5.28515625" style="23" customWidth="1"/>
    <col min="2" max="2" width="42.42578125" style="29" customWidth="1"/>
    <col min="3" max="3" width="17.140625" style="29" customWidth="1"/>
    <col min="4" max="4" width="16" style="23" customWidth="1"/>
    <col min="5" max="5" width="28.28515625" style="23" customWidth="1"/>
    <col min="6" max="6" width="6.42578125" style="23" customWidth="1"/>
    <col min="7" max="7" width="8.28515625" style="23" customWidth="1"/>
    <col min="8" max="8" width="9.28515625" style="23" bestFit="1" customWidth="1"/>
    <col min="9" max="15" width="8.28515625" style="23" customWidth="1"/>
    <col min="16" max="16" width="6.5703125" style="23" customWidth="1"/>
    <col min="17" max="17" width="10.5703125" style="23" customWidth="1"/>
    <col min="18" max="18" width="6.28515625" style="23" customWidth="1"/>
    <col min="19" max="19" width="8.28515625" style="23" customWidth="1"/>
    <col min="20" max="24" width="6.28515625" style="23" customWidth="1"/>
    <col min="25" max="25" width="11.7109375" style="23" customWidth="1"/>
    <col min="26" max="26" width="18.42578125" style="214" customWidth="1"/>
    <col min="27" max="27" width="39" customWidth="1"/>
    <col min="28" max="28" width="11.42578125" bestFit="1" customWidth="1"/>
    <col min="30" max="30" width="21.28515625" customWidth="1"/>
    <col min="31" max="31" width="37.7109375" style="214" customWidth="1"/>
    <col min="32" max="32" width="15.42578125" style="214" customWidth="1"/>
  </cols>
  <sheetData>
    <row r="1" spans="1:32" x14ac:dyDescent="0.3">
      <c r="A1" s="6"/>
      <c r="B1" s="413" t="s">
        <v>39</v>
      </c>
      <c r="C1" s="413"/>
      <c r="D1" s="413"/>
      <c r="E1" s="413"/>
      <c r="F1" s="413"/>
      <c r="G1" s="413"/>
      <c r="H1" s="413"/>
      <c r="I1" s="413"/>
      <c r="J1" s="413"/>
      <c r="K1" s="413"/>
      <c r="L1" s="413"/>
      <c r="M1" s="413"/>
      <c r="N1" s="413"/>
      <c r="O1" s="413"/>
      <c r="P1" s="413"/>
      <c r="Q1" s="413"/>
      <c r="R1" s="413"/>
      <c r="S1" s="413"/>
      <c r="T1" s="413"/>
      <c r="U1" s="413"/>
      <c r="V1" s="413"/>
      <c r="W1" s="413"/>
      <c r="X1" s="413"/>
      <c r="Y1" s="25" t="s">
        <v>17</v>
      </c>
    </row>
    <row r="2" spans="1:32" x14ac:dyDescent="0.3">
      <c r="A2" s="6"/>
      <c r="B2" s="413"/>
      <c r="C2" s="413"/>
      <c r="D2" s="413"/>
      <c r="E2" s="413"/>
      <c r="F2" s="413"/>
      <c r="G2" s="413"/>
      <c r="H2" s="413"/>
      <c r="I2" s="413"/>
      <c r="J2" s="413"/>
      <c r="K2" s="413"/>
      <c r="L2" s="413"/>
      <c r="M2" s="413"/>
      <c r="N2" s="413"/>
      <c r="O2" s="413"/>
      <c r="P2" s="413"/>
      <c r="Q2" s="413"/>
      <c r="R2" s="413"/>
      <c r="S2" s="413"/>
      <c r="T2" s="413"/>
      <c r="U2" s="413"/>
      <c r="V2" s="413"/>
      <c r="W2" s="413"/>
      <c r="X2" s="413"/>
      <c r="Y2" s="28"/>
    </row>
    <row r="3" spans="1:32" x14ac:dyDescent="0.3">
      <c r="A3" s="6"/>
      <c r="B3" s="19"/>
      <c r="C3" s="19"/>
      <c r="D3" s="19"/>
      <c r="E3" s="208"/>
      <c r="F3" s="208"/>
      <c r="G3" s="19"/>
      <c r="H3" s="19"/>
      <c r="I3" s="202"/>
      <c r="J3" s="208"/>
      <c r="K3" s="6"/>
      <c r="L3" s="6"/>
      <c r="M3" s="6"/>
      <c r="N3" s="6"/>
      <c r="O3" s="202"/>
      <c r="P3" s="29" t="s">
        <v>18</v>
      </c>
      <c r="T3" s="6"/>
      <c r="U3" s="6"/>
      <c r="V3" s="6"/>
      <c r="W3" s="6"/>
      <c r="X3" s="202"/>
      <c r="Y3" s="37"/>
    </row>
    <row r="4" spans="1:32" x14ac:dyDescent="0.3">
      <c r="A4" s="19"/>
      <c r="B4" s="19"/>
      <c r="C4" s="19"/>
      <c r="D4" s="19"/>
      <c r="E4" s="208"/>
      <c r="F4" s="208"/>
      <c r="G4" s="19"/>
      <c r="H4" s="202"/>
      <c r="I4" s="202"/>
      <c r="J4" s="208"/>
      <c r="K4" s="6"/>
      <c r="L4" s="6"/>
      <c r="M4" s="6"/>
      <c r="N4" s="6"/>
      <c r="O4" s="202"/>
      <c r="P4" s="29" t="s">
        <v>215</v>
      </c>
      <c r="T4" s="6"/>
      <c r="U4" s="6"/>
      <c r="V4" s="6"/>
      <c r="W4" s="6"/>
      <c r="X4" s="19"/>
      <c r="Y4" s="24"/>
    </row>
    <row r="5" spans="1:32" x14ac:dyDescent="0.3">
      <c r="A5" s="19"/>
      <c r="B5" s="19"/>
      <c r="C5" s="19"/>
      <c r="D5" s="19"/>
      <c r="E5" s="208"/>
      <c r="F5" s="208"/>
      <c r="G5" s="19"/>
      <c r="H5" s="202"/>
      <c r="I5" s="202"/>
      <c r="J5" s="208"/>
      <c r="K5" s="6"/>
      <c r="L5" s="6"/>
      <c r="M5" s="6"/>
      <c r="N5" s="6"/>
      <c r="O5" s="202"/>
      <c r="P5" s="29" t="s">
        <v>34</v>
      </c>
      <c r="T5" s="6"/>
      <c r="U5" s="6"/>
      <c r="V5" s="6"/>
      <c r="W5" s="6"/>
      <c r="X5" s="19"/>
      <c r="Y5" s="24"/>
    </row>
    <row r="6" spans="1:32" x14ac:dyDescent="0.3">
      <c r="A6" s="6"/>
      <c r="B6" s="19"/>
      <c r="C6" s="19"/>
      <c r="D6" s="6"/>
      <c r="E6" s="208"/>
      <c r="F6" s="208"/>
      <c r="G6" s="202"/>
      <c r="H6" s="202"/>
      <c r="I6" s="202"/>
      <c r="J6" s="208"/>
      <c r="K6" s="6"/>
      <c r="L6" s="6"/>
      <c r="M6" s="6"/>
      <c r="N6" s="6"/>
      <c r="O6" s="202"/>
      <c r="P6" s="6"/>
      <c r="Q6" s="6"/>
      <c r="R6" s="6"/>
      <c r="S6" s="6"/>
      <c r="T6" s="6"/>
      <c r="U6" s="6"/>
      <c r="V6" s="6"/>
      <c r="W6" s="6"/>
      <c r="X6" s="19"/>
      <c r="Y6" s="24"/>
    </row>
    <row r="7" spans="1:32" x14ac:dyDescent="0.25">
      <c r="A7" s="414" t="s">
        <v>209</v>
      </c>
      <c r="B7" s="414"/>
      <c r="C7" s="414"/>
      <c r="D7" s="414"/>
      <c r="E7" s="414"/>
      <c r="F7" s="414"/>
      <c r="G7" s="414"/>
      <c r="H7" s="414"/>
      <c r="I7" s="414"/>
      <c r="J7" s="414"/>
      <c r="K7" s="414"/>
      <c r="L7" s="414"/>
      <c r="M7" s="414"/>
      <c r="N7" s="414"/>
      <c r="O7" s="414"/>
      <c r="P7" s="414"/>
      <c r="Q7" s="414"/>
      <c r="R7" s="414"/>
      <c r="S7" s="414"/>
      <c r="T7" s="414"/>
      <c r="U7" s="414"/>
      <c r="V7" s="414"/>
      <c r="W7" s="414"/>
      <c r="X7" s="414"/>
      <c r="Y7" s="414"/>
    </row>
    <row r="8" spans="1:32" x14ac:dyDescent="0.3">
      <c r="A8" s="415" t="s">
        <v>47</v>
      </c>
      <c r="B8" s="415"/>
      <c r="C8" s="415"/>
      <c r="D8" s="415"/>
      <c r="E8" s="415"/>
      <c r="F8" s="415"/>
      <c r="G8" s="415"/>
      <c r="H8" s="415"/>
      <c r="I8" s="415"/>
      <c r="J8" s="415"/>
      <c r="K8" s="415"/>
      <c r="L8" s="415"/>
      <c r="M8" s="415"/>
      <c r="N8" s="415"/>
      <c r="O8" s="415"/>
      <c r="P8" s="415"/>
      <c r="Q8" s="415"/>
      <c r="R8" s="415"/>
      <c r="S8" s="415"/>
      <c r="T8" s="415"/>
      <c r="U8" s="415"/>
      <c r="V8" s="415"/>
      <c r="W8" s="415"/>
      <c r="X8" s="415"/>
      <c r="Y8" s="415"/>
    </row>
    <row r="9" spans="1:32" ht="19.5" thickBot="1" x14ac:dyDescent="0.35">
      <c r="A9" s="203"/>
      <c r="B9" s="203"/>
      <c r="C9" s="337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</row>
    <row r="10" spans="1:32" ht="18.75" customHeight="1" x14ac:dyDescent="0.25">
      <c r="A10" s="416" t="s">
        <v>19</v>
      </c>
      <c r="B10" s="417" t="s">
        <v>20</v>
      </c>
      <c r="C10" s="338"/>
      <c r="D10" s="410" t="s">
        <v>12</v>
      </c>
      <c r="E10" s="410" t="s">
        <v>13</v>
      </c>
      <c r="F10" s="410" t="s">
        <v>59</v>
      </c>
      <c r="G10" s="410" t="s">
        <v>21</v>
      </c>
      <c r="H10" s="410" t="s">
        <v>22</v>
      </c>
      <c r="I10" s="410" t="s">
        <v>23</v>
      </c>
      <c r="J10" s="410" t="s">
        <v>9</v>
      </c>
      <c r="K10" s="410" t="s">
        <v>10</v>
      </c>
      <c r="L10" s="410" t="s">
        <v>38</v>
      </c>
      <c r="M10" s="410" t="s">
        <v>14</v>
      </c>
      <c r="N10" s="410" t="s">
        <v>37</v>
      </c>
      <c r="O10" s="410" t="s">
        <v>15</v>
      </c>
      <c r="P10" s="410" t="s">
        <v>24</v>
      </c>
      <c r="Q10" s="410" t="s">
        <v>16</v>
      </c>
      <c r="R10" s="412" t="s">
        <v>25</v>
      </c>
      <c r="S10" s="412"/>
      <c r="T10" s="412"/>
      <c r="U10" s="412"/>
      <c r="V10" s="410" t="s">
        <v>36</v>
      </c>
      <c r="W10" s="410" t="s">
        <v>26</v>
      </c>
      <c r="X10" s="410" t="s">
        <v>11</v>
      </c>
      <c r="Y10" s="419" t="s">
        <v>58</v>
      </c>
    </row>
    <row r="11" spans="1:32" ht="132" customHeight="1" x14ac:dyDescent="0.25">
      <c r="A11" s="398"/>
      <c r="B11" s="418"/>
      <c r="C11" s="339" t="s">
        <v>651</v>
      </c>
      <c r="D11" s="411"/>
      <c r="E11" s="411"/>
      <c r="F11" s="411"/>
      <c r="G11" s="411"/>
      <c r="H11" s="411"/>
      <c r="I11" s="411"/>
      <c r="J11" s="411"/>
      <c r="K11" s="411"/>
      <c r="L11" s="411"/>
      <c r="M11" s="411"/>
      <c r="N11" s="411"/>
      <c r="O11" s="411"/>
      <c r="P11" s="411"/>
      <c r="Q11" s="411"/>
      <c r="R11" s="198" t="s">
        <v>28</v>
      </c>
      <c r="S11" s="198" t="s">
        <v>29</v>
      </c>
      <c r="T11" s="198" t="s">
        <v>30</v>
      </c>
      <c r="U11" s="198" t="s">
        <v>48</v>
      </c>
      <c r="V11" s="411"/>
      <c r="W11" s="411"/>
      <c r="X11" s="411"/>
      <c r="Y11" s="420"/>
    </row>
    <row r="12" spans="1:32" x14ac:dyDescent="0.25">
      <c r="A12" s="209">
        <v>1</v>
      </c>
      <c r="B12" s="67">
        <v>2</v>
      </c>
      <c r="C12" s="67"/>
      <c r="D12" s="72">
        <v>3</v>
      </c>
      <c r="E12" s="72">
        <v>4</v>
      </c>
      <c r="F12" s="72">
        <v>5</v>
      </c>
      <c r="G12" s="72">
        <v>6</v>
      </c>
      <c r="H12" s="72">
        <v>7</v>
      </c>
      <c r="I12" s="72">
        <v>8</v>
      </c>
      <c r="J12" s="72">
        <v>9</v>
      </c>
      <c r="K12" s="72">
        <v>10</v>
      </c>
      <c r="L12" s="72">
        <v>12</v>
      </c>
      <c r="M12" s="72">
        <v>11</v>
      </c>
      <c r="N12" s="72">
        <v>13</v>
      </c>
      <c r="O12" s="72">
        <v>14</v>
      </c>
      <c r="P12" s="72">
        <v>15</v>
      </c>
      <c r="Q12" s="72">
        <v>16</v>
      </c>
      <c r="R12" s="72">
        <v>17</v>
      </c>
      <c r="S12" s="72">
        <v>18</v>
      </c>
      <c r="T12" s="72">
        <v>19</v>
      </c>
      <c r="U12" s="72">
        <v>20</v>
      </c>
      <c r="V12" s="72">
        <v>21</v>
      </c>
      <c r="W12" s="72">
        <v>22</v>
      </c>
      <c r="X12" s="72">
        <v>23</v>
      </c>
      <c r="Y12" s="50">
        <v>24</v>
      </c>
    </row>
    <row r="13" spans="1:32" s="1" customFormat="1" ht="19.5" customHeight="1" x14ac:dyDescent="0.25">
      <c r="A13" s="406" t="s">
        <v>157</v>
      </c>
      <c r="B13" s="407"/>
      <c r="C13" s="407"/>
      <c r="D13" s="407"/>
      <c r="E13" s="407"/>
      <c r="F13" s="407"/>
      <c r="G13" s="407"/>
      <c r="H13" s="407"/>
      <c r="I13" s="407"/>
      <c r="J13" s="407"/>
      <c r="K13" s="407"/>
      <c r="L13" s="407"/>
      <c r="M13" s="407"/>
      <c r="N13" s="407"/>
      <c r="O13" s="407"/>
      <c r="P13" s="407"/>
      <c r="Q13" s="407"/>
      <c r="R13" s="407"/>
      <c r="S13" s="407"/>
      <c r="T13" s="407"/>
      <c r="U13" s="407"/>
      <c r="V13" s="407"/>
      <c r="W13" s="407"/>
      <c r="X13" s="407"/>
      <c r="Y13" s="408"/>
      <c r="Z13" s="184"/>
      <c r="AE13" s="184"/>
      <c r="AF13" s="184"/>
    </row>
    <row r="14" spans="1:32" s="1" customFormat="1" ht="19.5" customHeight="1" x14ac:dyDescent="0.25">
      <c r="A14" s="224"/>
      <c r="B14" s="395" t="s">
        <v>79</v>
      </c>
      <c r="C14" s="331"/>
      <c r="D14" s="225" t="s">
        <v>52</v>
      </c>
      <c r="E14" s="176" t="s">
        <v>97</v>
      </c>
      <c r="F14" s="174">
        <v>2</v>
      </c>
      <c r="G14" s="176" t="s">
        <v>35</v>
      </c>
      <c r="H14" s="176">
        <v>25</v>
      </c>
      <c r="I14" s="176">
        <v>15</v>
      </c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7"/>
      <c r="Z14" s="228" t="s">
        <v>604</v>
      </c>
      <c r="AA14" s="229"/>
      <c r="AB14" s="229"/>
      <c r="AE14" s="184"/>
      <c r="AF14" s="184"/>
    </row>
    <row r="15" spans="1:32" s="1" customFormat="1" ht="19.5" customHeight="1" x14ac:dyDescent="0.25">
      <c r="A15" s="224"/>
      <c r="B15" s="396"/>
      <c r="C15" s="332"/>
      <c r="D15" s="225" t="s">
        <v>52</v>
      </c>
      <c r="E15" s="176" t="s">
        <v>167</v>
      </c>
      <c r="F15" s="174">
        <v>2</v>
      </c>
      <c r="G15" s="176" t="s">
        <v>35</v>
      </c>
      <c r="H15" s="176">
        <v>25</v>
      </c>
      <c r="I15" s="176"/>
      <c r="J15" s="226"/>
      <c r="K15" s="226"/>
      <c r="L15" s="226"/>
      <c r="M15" s="226"/>
      <c r="N15" s="226"/>
      <c r="O15" s="226"/>
      <c r="P15" s="226"/>
      <c r="Q15" s="226"/>
      <c r="R15" s="226"/>
      <c r="S15" s="226"/>
      <c r="T15" s="226"/>
      <c r="U15" s="226"/>
      <c r="V15" s="226"/>
      <c r="W15" s="226"/>
      <c r="X15" s="226"/>
      <c r="Y15" s="227"/>
      <c r="Z15" s="228" t="s">
        <v>604</v>
      </c>
      <c r="AA15" s="229"/>
      <c r="AB15" s="229"/>
      <c r="AE15" s="184"/>
      <c r="AF15" s="184"/>
    </row>
    <row r="16" spans="1:32" s="1" customFormat="1" ht="19.5" customHeight="1" x14ac:dyDescent="0.25">
      <c r="A16" s="224"/>
      <c r="B16" s="396"/>
      <c r="C16" s="332"/>
      <c r="D16" s="225" t="s">
        <v>52</v>
      </c>
      <c r="E16" s="176" t="s">
        <v>249</v>
      </c>
      <c r="F16" s="174">
        <v>2</v>
      </c>
      <c r="G16" s="176" t="s">
        <v>35</v>
      </c>
      <c r="H16" s="176">
        <v>25</v>
      </c>
      <c r="I16" s="176"/>
      <c r="J16" s="226"/>
      <c r="K16" s="226"/>
      <c r="L16" s="226"/>
      <c r="M16" s="226"/>
      <c r="N16" s="226"/>
      <c r="O16" s="226"/>
      <c r="P16" s="226"/>
      <c r="Q16" s="226"/>
      <c r="R16" s="226"/>
      <c r="S16" s="226"/>
      <c r="T16" s="226"/>
      <c r="U16" s="226"/>
      <c r="V16" s="226"/>
      <c r="W16" s="226"/>
      <c r="X16" s="226"/>
      <c r="Y16" s="227"/>
      <c r="Z16" s="228" t="s">
        <v>604</v>
      </c>
      <c r="AA16" s="229"/>
      <c r="AB16" s="229"/>
      <c r="AE16" s="184"/>
      <c r="AF16" s="184"/>
    </row>
    <row r="17" spans="1:32" s="1" customFormat="1" ht="19.5" customHeight="1" x14ac:dyDescent="0.25">
      <c r="A17" s="224"/>
      <c r="B17" s="396"/>
      <c r="C17" s="332"/>
      <c r="D17" s="225" t="s">
        <v>52</v>
      </c>
      <c r="E17" s="176" t="s">
        <v>250</v>
      </c>
      <c r="F17" s="174">
        <v>2</v>
      </c>
      <c r="G17" s="176" t="s">
        <v>35</v>
      </c>
      <c r="H17" s="176">
        <v>25</v>
      </c>
      <c r="I17" s="176"/>
      <c r="J17" s="226"/>
      <c r="K17" s="226"/>
      <c r="L17" s="226"/>
      <c r="M17" s="226"/>
      <c r="N17" s="226"/>
      <c r="O17" s="226"/>
      <c r="P17" s="226"/>
      <c r="Q17" s="226"/>
      <c r="R17" s="226"/>
      <c r="S17" s="226"/>
      <c r="T17" s="226"/>
      <c r="U17" s="226"/>
      <c r="V17" s="226"/>
      <c r="W17" s="226"/>
      <c r="X17" s="226"/>
      <c r="Y17" s="227"/>
      <c r="Z17" s="228" t="s">
        <v>604</v>
      </c>
      <c r="AA17" s="229"/>
      <c r="AB17" s="229"/>
      <c r="AE17" s="184"/>
      <c r="AF17" s="184"/>
    </row>
    <row r="18" spans="1:32" s="1" customFormat="1" ht="19.5" customHeight="1" x14ac:dyDescent="0.25">
      <c r="A18" s="224"/>
      <c r="B18" s="396"/>
      <c r="C18" s="332"/>
      <c r="D18" s="174" t="s">
        <v>51</v>
      </c>
      <c r="E18" s="174" t="s">
        <v>100</v>
      </c>
      <c r="F18" s="174">
        <v>2</v>
      </c>
      <c r="G18" s="176" t="s">
        <v>35</v>
      </c>
      <c r="H18" s="174">
        <v>25</v>
      </c>
      <c r="I18" s="176"/>
      <c r="J18" s="226"/>
      <c r="K18" s="226"/>
      <c r="L18" s="226"/>
      <c r="M18" s="226"/>
      <c r="N18" s="226"/>
      <c r="O18" s="226"/>
      <c r="P18" s="226"/>
      <c r="Q18" s="226"/>
      <c r="R18" s="226"/>
      <c r="S18" s="226"/>
      <c r="T18" s="226"/>
      <c r="U18" s="226"/>
      <c r="V18" s="226"/>
      <c r="W18" s="226"/>
      <c r="X18" s="226"/>
      <c r="Y18" s="227"/>
      <c r="Z18" s="228" t="s">
        <v>604</v>
      </c>
      <c r="AA18" s="229"/>
      <c r="AB18" s="229"/>
      <c r="AE18" s="184"/>
      <c r="AF18" s="184"/>
    </row>
    <row r="19" spans="1:32" s="1" customFormat="1" ht="19.5" customHeight="1" x14ac:dyDescent="0.25">
      <c r="A19" s="224"/>
      <c r="B19" s="396"/>
      <c r="C19" s="332"/>
      <c r="D19" s="174" t="s">
        <v>45</v>
      </c>
      <c r="E19" s="174" t="s">
        <v>166</v>
      </c>
      <c r="F19" s="174">
        <v>2</v>
      </c>
      <c r="G19" s="174" t="s">
        <v>35</v>
      </c>
      <c r="H19" s="174">
        <v>24</v>
      </c>
      <c r="I19" s="176"/>
      <c r="J19" s="226"/>
      <c r="K19" s="226"/>
      <c r="L19" s="226"/>
      <c r="M19" s="226"/>
      <c r="N19" s="226"/>
      <c r="O19" s="226"/>
      <c r="P19" s="226"/>
      <c r="Q19" s="226"/>
      <c r="R19" s="226"/>
      <c r="S19" s="226"/>
      <c r="T19" s="226"/>
      <c r="U19" s="226"/>
      <c r="V19" s="226"/>
      <c r="W19" s="226"/>
      <c r="X19" s="226"/>
      <c r="Y19" s="227"/>
      <c r="Z19" s="228" t="s">
        <v>604</v>
      </c>
      <c r="AA19" s="229"/>
      <c r="AB19" s="229"/>
      <c r="AE19" s="184"/>
      <c r="AF19" s="184"/>
    </row>
    <row r="20" spans="1:32" s="1" customFormat="1" ht="19.5" customHeight="1" x14ac:dyDescent="0.3">
      <c r="A20" s="409">
        <v>1</v>
      </c>
      <c r="B20" s="396"/>
      <c r="C20" s="332"/>
      <c r="D20" s="225" t="s">
        <v>52</v>
      </c>
      <c r="E20" s="176" t="s">
        <v>97</v>
      </c>
      <c r="F20" s="174">
        <v>2</v>
      </c>
      <c r="G20" s="176" t="s">
        <v>35</v>
      </c>
      <c r="H20" s="176">
        <v>25</v>
      </c>
      <c r="I20" s="176"/>
      <c r="J20" s="174">
        <v>38</v>
      </c>
      <c r="K20" s="174"/>
      <c r="L20" s="174"/>
      <c r="M20" s="174"/>
      <c r="N20" s="174"/>
      <c r="O20" s="174">
        <v>7</v>
      </c>
      <c r="P20" s="174"/>
      <c r="Q20" s="230"/>
      <c r="R20" s="230"/>
      <c r="S20" s="230"/>
      <c r="T20" s="231"/>
      <c r="U20" s="174"/>
      <c r="V20" s="174"/>
      <c r="W20" s="174"/>
      <c r="X20" s="174"/>
      <c r="Y20" s="232">
        <v>2</v>
      </c>
      <c r="Z20" s="228" t="s">
        <v>605</v>
      </c>
      <c r="AA20" s="229"/>
      <c r="AB20" s="229"/>
      <c r="AE20" s="184"/>
      <c r="AF20" s="184"/>
    </row>
    <row r="21" spans="1:32" s="1" customFormat="1" ht="19.5" customHeight="1" x14ac:dyDescent="0.3">
      <c r="A21" s="409"/>
      <c r="B21" s="396"/>
      <c r="C21" s="332"/>
      <c r="D21" s="225" t="s">
        <v>52</v>
      </c>
      <c r="E21" s="176" t="s">
        <v>167</v>
      </c>
      <c r="F21" s="174">
        <v>2</v>
      </c>
      <c r="G21" s="176" t="s">
        <v>35</v>
      </c>
      <c r="H21" s="176">
        <v>25</v>
      </c>
      <c r="I21" s="176"/>
      <c r="J21" s="174"/>
      <c r="K21" s="174"/>
      <c r="L21" s="174"/>
      <c r="M21" s="174"/>
      <c r="N21" s="230"/>
      <c r="O21" s="230"/>
      <c r="P21" s="230"/>
      <c r="Q21" s="230"/>
      <c r="R21" s="230"/>
      <c r="S21" s="230"/>
      <c r="T21" s="231"/>
      <c r="U21" s="174"/>
      <c r="V21" s="174"/>
      <c r="W21" s="174"/>
      <c r="X21" s="174"/>
      <c r="Y21" s="232"/>
      <c r="Z21" s="228" t="s">
        <v>605</v>
      </c>
      <c r="AA21" s="229"/>
      <c r="AB21" s="229"/>
      <c r="AE21" s="184"/>
      <c r="AF21" s="184"/>
    </row>
    <row r="22" spans="1:32" s="1" customFormat="1" ht="19.5" customHeight="1" x14ac:dyDescent="0.3">
      <c r="A22" s="409"/>
      <c r="B22" s="396"/>
      <c r="C22" s="332"/>
      <c r="D22" s="225" t="s">
        <v>52</v>
      </c>
      <c r="E22" s="176" t="s">
        <v>249</v>
      </c>
      <c r="F22" s="174">
        <v>2</v>
      </c>
      <c r="G22" s="176" t="s">
        <v>35</v>
      </c>
      <c r="H22" s="176">
        <v>25</v>
      </c>
      <c r="I22" s="176"/>
      <c r="J22" s="174">
        <v>38</v>
      </c>
      <c r="K22" s="174"/>
      <c r="L22" s="174"/>
      <c r="M22" s="174"/>
      <c r="N22" s="174"/>
      <c r="O22" s="174">
        <v>7</v>
      </c>
      <c r="P22" s="230"/>
      <c r="Q22" s="230"/>
      <c r="R22" s="230"/>
      <c r="S22" s="230"/>
      <c r="T22" s="231"/>
      <c r="U22" s="174"/>
      <c r="V22" s="174"/>
      <c r="W22" s="174"/>
      <c r="X22" s="174"/>
      <c r="Y22" s="232">
        <v>1.5</v>
      </c>
      <c r="Z22" s="228" t="s">
        <v>605</v>
      </c>
      <c r="AA22" s="229"/>
      <c r="AB22" s="229"/>
      <c r="AE22" s="184"/>
      <c r="AF22" s="184"/>
    </row>
    <row r="23" spans="1:32" s="1" customFormat="1" ht="19.5" customHeight="1" x14ac:dyDescent="0.3">
      <c r="A23" s="409"/>
      <c r="B23" s="396"/>
      <c r="C23" s="332"/>
      <c r="D23" s="225" t="s">
        <v>52</v>
      </c>
      <c r="E23" s="176" t="s">
        <v>250</v>
      </c>
      <c r="F23" s="174">
        <v>2</v>
      </c>
      <c r="G23" s="176" t="s">
        <v>35</v>
      </c>
      <c r="H23" s="176">
        <v>25</v>
      </c>
      <c r="I23" s="176"/>
      <c r="J23" s="174"/>
      <c r="K23" s="174"/>
      <c r="L23" s="174"/>
      <c r="M23" s="174"/>
      <c r="N23" s="174"/>
      <c r="O23" s="174"/>
      <c r="P23" s="230"/>
      <c r="Q23" s="230"/>
      <c r="R23" s="230"/>
      <c r="S23" s="230"/>
      <c r="T23" s="231"/>
      <c r="U23" s="174"/>
      <c r="V23" s="174"/>
      <c r="W23" s="174"/>
      <c r="X23" s="174"/>
      <c r="Y23" s="232"/>
      <c r="Z23" s="228" t="s">
        <v>605</v>
      </c>
      <c r="AA23" s="229"/>
      <c r="AB23" s="229"/>
      <c r="AE23" s="184"/>
      <c r="AF23" s="184"/>
    </row>
    <row r="24" spans="1:32" s="1" customFormat="1" ht="19.5" customHeight="1" x14ac:dyDescent="0.3">
      <c r="A24" s="409"/>
      <c r="B24" s="396"/>
      <c r="C24" s="332"/>
      <c r="D24" s="174" t="s">
        <v>51</v>
      </c>
      <c r="E24" s="174" t="s">
        <v>100</v>
      </c>
      <c r="F24" s="174">
        <v>2</v>
      </c>
      <c r="G24" s="176" t="s">
        <v>35</v>
      </c>
      <c r="H24" s="174">
        <v>25</v>
      </c>
      <c r="I24" s="176"/>
      <c r="J24" s="174">
        <v>38</v>
      </c>
      <c r="K24" s="174"/>
      <c r="L24" s="174"/>
      <c r="M24" s="174"/>
      <c r="N24" s="174"/>
      <c r="O24" s="174">
        <v>7</v>
      </c>
      <c r="P24" s="230"/>
      <c r="Q24" s="230"/>
      <c r="R24" s="230"/>
      <c r="S24" s="230"/>
      <c r="T24" s="231"/>
      <c r="U24" s="174"/>
      <c r="V24" s="174"/>
      <c r="W24" s="174"/>
      <c r="X24" s="174"/>
      <c r="Y24" s="232">
        <v>1.5</v>
      </c>
      <c r="Z24" s="228" t="s">
        <v>606</v>
      </c>
      <c r="AA24" s="229"/>
      <c r="AB24" s="229"/>
      <c r="AE24" s="184"/>
      <c r="AF24" s="184"/>
    </row>
    <row r="25" spans="1:32" s="1" customFormat="1" ht="19.5" customHeight="1" x14ac:dyDescent="0.3">
      <c r="A25" s="409"/>
      <c r="B25" s="396"/>
      <c r="C25" s="332"/>
      <c r="D25" s="174" t="s">
        <v>45</v>
      </c>
      <c r="E25" s="174" t="s">
        <v>166</v>
      </c>
      <c r="F25" s="174">
        <v>2</v>
      </c>
      <c r="G25" s="174" t="s">
        <v>35</v>
      </c>
      <c r="H25" s="174">
        <v>24</v>
      </c>
      <c r="I25" s="176"/>
      <c r="J25" s="174"/>
      <c r="K25" s="174"/>
      <c r="L25" s="174"/>
      <c r="M25" s="174"/>
      <c r="N25" s="230"/>
      <c r="O25" s="230"/>
      <c r="P25" s="230"/>
      <c r="Q25" s="230"/>
      <c r="R25" s="230"/>
      <c r="S25" s="230"/>
      <c r="T25" s="231"/>
      <c r="U25" s="174"/>
      <c r="V25" s="174"/>
      <c r="W25" s="174"/>
      <c r="X25" s="174"/>
      <c r="Y25" s="232"/>
      <c r="Z25" s="228" t="s">
        <v>606</v>
      </c>
      <c r="AA25" s="229"/>
      <c r="AB25" s="229"/>
      <c r="AE25" s="184"/>
      <c r="AF25" s="184"/>
    </row>
    <row r="26" spans="1:32" s="1" customFormat="1" ht="19.5" customHeight="1" x14ac:dyDescent="0.3">
      <c r="A26" s="409"/>
      <c r="B26" s="396"/>
      <c r="C26" s="332"/>
      <c r="D26" s="174" t="s">
        <v>45</v>
      </c>
      <c r="E26" s="174" t="s">
        <v>95</v>
      </c>
      <c r="F26" s="174">
        <v>2</v>
      </c>
      <c r="G26" s="174" t="s">
        <v>35</v>
      </c>
      <c r="H26" s="174">
        <v>25</v>
      </c>
      <c r="I26" s="176">
        <v>15</v>
      </c>
      <c r="J26" s="174"/>
      <c r="K26" s="174"/>
      <c r="L26" s="174"/>
      <c r="M26" s="174"/>
      <c r="N26" s="230"/>
      <c r="O26" s="230"/>
      <c r="P26" s="230"/>
      <c r="Q26" s="230"/>
      <c r="R26" s="230"/>
      <c r="S26" s="230"/>
      <c r="T26" s="231"/>
      <c r="U26" s="174"/>
      <c r="V26" s="174"/>
      <c r="W26" s="174"/>
      <c r="X26" s="174"/>
      <c r="Y26" s="232"/>
      <c r="Z26" s="228" t="s">
        <v>604</v>
      </c>
      <c r="AA26" s="229"/>
      <c r="AB26" s="229"/>
      <c r="AE26" s="184"/>
      <c r="AF26" s="184"/>
    </row>
    <row r="27" spans="1:32" s="1" customFormat="1" ht="19.5" customHeight="1" x14ac:dyDescent="0.3">
      <c r="A27" s="409"/>
      <c r="B27" s="396"/>
      <c r="C27" s="332"/>
      <c r="D27" s="174" t="s">
        <v>45</v>
      </c>
      <c r="E27" s="174" t="s">
        <v>96</v>
      </c>
      <c r="F27" s="174">
        <v>2</v>
      </c>
      <c r="G27" s="174" t="s">
        <v>35</v>
      </c>
      <c r="H27" s="174">
        <v>25</v>
      </c>
      <c r="I27" s="176"/>
      <c r="J27" s="174"/>
      <c r="K27" s="174"/>
      <c r="L27" s="174"/>
      <c r="M27" s="174"/>
      <c r="N27" s="230"/>
      <c r="O27" s="230"/>
      <c r="P27" s="230"/>
      <c r="Q27" s="230"/>
      <c r="R27" s="230"/>
      <c r="S27" s="230"/>
      <c r="T27" s="231"/>
      <c r="U27" s="174"/>
      <c r="V27" s="174"/>
      <c r="W27" s="174"/>
      <c r="X27" s="174"/>
      <c r="Y27" s="232"/>
      <c r="Z27" s="228" t="s">
        <v>604</v>
      </c>
      <c r="AA27" s="229"/>
      <c r="AB27" s="229"/>
      <c r="AE27" s="184"/>
      <c r="AF27" s="184"/>
    </row>
    <row r="28" spans="1:32" s="1" customFormat="1" ht="19.5" customHeight="1" x14ac:dyDescent="0.3">
      <c r="A28" s="409"/>
      <c r="B28" s="396"/>
      <c r="C28" s="332"/>
      <c r="D28" s="174" t="s">
        <v>45</v>
      </c>
      <c r="E28" s="174" t="s">
        <v>151</v>
      </c>
      <c r="F28" s="174">
        <v>2</v>
      </c>
      <c r="G28" s="174" t="s">
        <v>35</v>
      </c>
      <c r="H28" s="174">
        <v>25</v>
      </c>
      <c r="I28" s="176"/>
      <c r="J28" s="174"/>
      <c r="K28" s="174"/>
      <c r="L28" s="174"/>
      <c r="M28" s="174"/>
      <c r="N28" s="230"/>
      <c r="O28" s="230"/>
      <c r="P28" s="230"/>
      <c r="Q28" s="230"/>
      <c r="R28" s="230"/>
      <c r="S28" s="230"/>
      <c r="T28" s="231"/>
      <c r="U28" s="174"/>
      <c r="V28" s="174"/>
      <c r="W28" s="174"/>
      <c r="X28" s="174"/>
      <c r="Y28" s="232"/>
      <c r="Z28" s="228" t="s">
        <v>604</v>
      </c>
      <c r="AA28" s="229"/>
      <c r="AB28" s="229"/>
      <c r="AE28" s="184"/>
      <c r="AF28" s="184"/>
    </row>
    <row r="29" spans="1:32" s="1" customFormat="1" ht="19.5" customHeight="1" x14ac:dyDescent="0.3">
      <c r="A29" s="409"/>
      <c r="B29" s="396"/>
      <c r="C29" s="332"/>
      <c r="D29" s="174" t="s">
        <v>45</v>
      </c>
      <c r="E29" s="174" t="s">
        <v>152</v>
      </c>
      <c r="F29" s="174">
        <v>2</v>
      </c>
      <c r="G29" s="174" t="s">
        <v>35</v>
      </c>
      <c r="H29" s="174">
        <v>25</v>
      </c>
      <c r="I29" s="176"/>
      <c r="J29" s="174"/>
      <c r="K29" s="174"/>
      <c r="L29" s="174"/>
      <c r="M29" s="174"/>
      <c r="N29" s="230"/>
      <c r="O29" s="230"/>
      <c r="P29" s="230"/>
      <c r="Q29" s="230"/>
      <c r="R29" s="230"/>
      <c r="S29" s="230"/>
      <c r="T29" s="231"/>
      <c r="U29" s="174"/>
      <c r="V29" s="174"/>
      <c r="W29" s="174"/>
      <c r="X29" s="174"/>
      <c r="Y29" s="232"/>
      <c r="Z29" s="228" t="s">
        <v>604</v>
      </c>
      <c r="AA29" s="229"/>
      <c r="AB29" s="229"/>
      <c r="AE29" s="184"/>
      <c r="AF29" s="184"/>
    </row>
    <row r="30" spans="1:32" s="1" customFormat="1" ht="19.5" customHeight="1" x14ac:dyDescent="0.3">
      <c r="A30" s="409"/>
      <c r="B30" s="396"/>
      <c r="C30" s="332"/>
      <c r="D30" s="174" t="s">
        <v>45</v>
      </c>
      <c r="E30" s="174" t="s">
        <v>95</v>
      </c>
      <c r="F30" s="174">
        <v>2</v>
      </c>
      <c r="G30" s="174" t="s">
        <v>35</v>
      </c>
      <c r="H30" s="174">
        <v>25</v>
      </c>
      <c r="I30" s="176"/>
      <c r="J30" s="174">
        <v>38</v>
      </c>
      <c r="K30" s="174"/>
      <c r="L30" s="174"/>
      <c r="M30" s="174"/>
      <c r="N30" s="174"/>
      <c r="O30" s="174">
        <v>7</v>
      </c>
      <c r="P30" s="174"/>
      <c r="Q30" s="230"/>
      <c r="R30" s="230"/>
      <c r="S30" s="230"/>
      <c r="T30" s="231"/>
      <c r="U30" s="174"/>
      <c r="V30" s="174"/>
      <c r="W30" s="174"/>
      <c r="X30" s="174"/>
      <c r="Y30" s="232">
        <v>2</v>
      </c>
      <c r="Z30" s="228" t="s">
        <v>605</v>
      </c>
      <c r="AA30" s="229"/>
      <c r="AB30" s="229"/>
      <c r="AE30" s="184"/>
      <c r="AF30" s="184"/>
    </row>
    <row r="31" spans="1:32" s="1" customFormat="1" ht="19.5" customHeight="1" x14ac:dyDescent="0.3">
      <c r="A31" s="409"/>
      <c r="B31" s="396"/>
      <c r="C31" s="332"/>
      <c r="D31" s="174" t="s">
        <v>45</v>
      </c>
      <c r="E31" s="174" t="s">
        <v>96</v>
      </c>
      <c r="F31" s="174">
        <v>2</v>
      </c>
      <c r="G31" s="174" t="s">
        <v>35</v>
      </c>
      <c r="H31" s="174">
        <v>25</v>
      </c>
      <c r="I31" s="176"/>
      <c r="J31" s="174"/>
      <c r="K31" s="174"/>
      <c r="L31" s="174"/>
      <c r="M31" s="174"/>
      <c r="N31" s="230"/>
      <c r="O31" s="230"/>
      <c r="P31" s="230"/>
      <c r="Q31" s="230"/>
      <c r="R31" s="230"/>
      <c r="S31" s="230"/>
      <c r="T31" s="231"/>
      <c r="U31" s="174"/>
      <c r="V31" s="174"/>
      <c r="W31" s="174"/>
      <c r="X31" s="174"/>
      <c r="Y31" s="232"/>
      <c r="Z31" s="228" t="s">
        <v>605</v>
      </c>
      <c r="AA31" s="229"/>
      <c r="AB31" s="229"/>
      <c r="AE31" s="184"/>
      <c r="AF31" s="184"/>
    </row>
    <row r="32" spans="1:32" s="1" customFormat="1" ht="19.5" customHeight="1" x14ac:dyDescent="0.3">
      <c r="A32" s="409"/>
      <c r="B32" s="396"/>
      <c r="C32" s="332"/>
      <c r="D32" s="174" t="s">
        <v>45</v>
      </c>
      <c r="E32" s="174" t="s">
        <v>151</v>
      </c>
      <c r="F32" s="174">
        <v>2</v>
      </c>
      <c r="G32" s="174" t="s">
        <v>35</v>
      </c>
      <c r="H32" s="174">
        <v>25</v>
      </c>
      <c r="I32" s="176"/>
      <c r="J32" s="174">
        <v>38</v>
      </c>
      <c r="K32" s="174"/>
      <c r="L32" s="174"/>
      <c r="M32" s="174"/>
      <c r="N32" s="174"/>
      <c r="O32" s="174">
        <v>7</v>
      </c>
      <c r="P32" s="230"/>
      <c r="Q32" s="230"/>
      <c r="R32" s="230"/>
      <c r="S32" s="230"/>
      <c r="T32" s="231"/>
      <c r="U32" s="174"/>
      <c r="V32" s="174"/>
      <c r="W32" s="174"/>
      <c r="X32" s="174"/>
      <c r="Y32" s="232">
        <v>1.5</v>
      </c>
      <c r="Z32" s="228" t="s">
        <v>605</v>
      </c>
      <c r="AA32" s="229"/>
      <c r="AB32" s="229"/>
      <c r="AE32" s="184"/>
      <c r="AF32" s="184"/>
    </row>
    <row r="33" spans="1:32" s="1" customFormat="1" ht="19.5" customHeight="1" x14ac:dyDescent="0.3">
      <c r="A33" s="409"/>
      <c r="B33" s="396"/>
      <c r="C33" s="332"/>
      <c r="D33" s="174" t="s">
        <v>45</v>
      </c>
      <c r="E33" s="174" t="s">
        <v>152</v>
      </c>
      <c r="F33" s="174">
        <v>2</v>
      </c>
      <c r="G33" s="174" t="s">
        <v>35</v>
      </c>
      <c r="H33" s="174">
        <v>25</v>
      </c>
      <c r="I33" s="176"/>
      <c r="J33" s="174"/>
      <c r="K33" s="174"/>
      <c r="L33" s="174"/>
      <c r="M33" s="174"/>
      <c r="N33" s="230"/>
      <c r="O33" s="230"/>
      <c r="P33" s="230"/>
      <c r="Q33" s="230"/>
      <c r="R33" s="230"/>
      <c r="S33" s="230"/>
      <c r="T33" s="231"/>
      <c r="U33" s="174"/>
      <c r="V33" s="174"/>
      <c r="W33" s="174"/>
      <c r="X33" s="174"/>
      <c r="Y33" s="232"/>
      <c r="Z33" s="228" t="s">
        <v>605</v>
      </c>
      <c r="AA33" s="229"/>
      <c r="AB33" s="229"/>
      <c r="AE33" s="184"/>
      <c r="AF33" s="184"/>
    </row>
    <row r="34" spans="1:32" s="1" customFormat="1" ht="19.5" customHeight="1" x14ac:dyDescent="0.3">
      <c r="A34" s="409"/>
      <c r="B34" s="396"/>
      <c r="C34" s="332"/>
      <c r="D34" s="174" t="s">
        <v>43</v>
      </c>
      <c r="E34" s="174" t="s">
        <v>111</v>
      </c>
      <c r="F34" s="174">
        <v>2</v>
      </c>
      <c r="G34" s="174" t="s">
        <v>35</v>
      </c>
      <c r="H34" s="174">
        <v>12</v>
      </c>
      <c r="I34" s="176">
        <v>15</v>
      </c>
      <c r="J34" s="174"/>
      <c r="K34" s="174"/>
      <c r="L34" s="174"/>
      <c r="M34" s="174"/>
      <c r="N34" s="230"/>
      <c r="O34" s="230"/>
      <c r="P34" s="230"/>
      <c r="Q34" s="230"/>
      <c r="R34" s="230"/>
      <c r="S34" s="230"/>
      <c r="T34" s="231"/>
      <c r="U34" s="174"/>
      <c r="V34" s="174"/>
      <c r="W34" s="174"/>
      <c r="X34" s="174"/>
      <c r="Y34" s="232"/>
      <c r="Z34" s="228" t="s">
        <v>604</v>
      </c>
      <c r="AA34" s="229"/>
      <c r="AB34" s="229"/>
      <c r="AE34" s="184"/>
      <c r="AF34" s="184"/>
    </row>
    <row r="35" spans="1:32" s="1" customFormat="1" ht="19.5" customHeight="1" x14ac:dyDescent="0.3">
      <c r="A35" s="409"/>
      <c r="B35" s="396"/>
      <c r="C35" s="332"/>
      <c r="D35" s="225" t="s">
        <v>46</v>
      </c>
      <c r="E35" s="176" t="s">
        <v>86</v>
      </c>
      <c r="F35" s="174">
        <v>2</v>
      </c>
      <c r="G35" s="176" t="s">
        <v>35</v>
      </c>
      <c r="H35" s="176">
        <v>19</v>
      </c>
      <c r="I35" s="176"/>
      <c r="J35" s="174"/>
      <c r="K35" s="174"/>
      <c r="L35" s="174"/>
      <c r="M35" s="174"/>
      <c r="N35" s="230"/>
      <c r="O35" s="230"/>
      <c r="P35" s="230"/>
      <c r="Q35" s="230"/>
      <c r="R35" s="230"/>
      <c r="S35" s="230"/>
      <c r="T35" s="231"/>
      <c r="U35" s="174"/>
      <c r="V35" s="174"/>
      <c r="W35" s="174"/>
      <c r="X35" s="174"/>
      <c r="Y35" s="232"/>
      <c r="Z35" s="228" t="s">
        <v>604</v>
      </c>
      <c r="AA35" s="229"/>
      <c r="AB35" s="229"/>
      <c r="AE35" s="184"/>
      <c r="AF35" s="184"/>
    </row>
    <row r="36" spans="1:32" s="1" customFormat="1" ht="19.5" customHeight="1" x14ac:dyDescent="0.3">
      <c r="A36" s="409"/>
      <c r="B36" s="396"/>
      <c r="C36" s="332"/>
      <c r="D36" s="225" t="s">
        <v>46</v>
      </c>
      <c r="E36" s="176" t="s">
        <v>88</v>
      </c>
      <c r="F36" s="174">
        <v>2</v>
      </c>
      <c r="G36" s="176" t="s">
        <v>35</v>
      </c>
      <c r="H36" s="176">
        <v>18</v>
      </c>
      <c r="I36" s="176"/>
      <c r="J36" s="174"/>
      <c r="K36" s="174"/>
      <c r="L36" s="174"/>
      <c r="M36" s="174"/>
      <c r="N36" s="230"/>
      <c r="O36" s="230"/>
      <c r="P36" s="230"/>
      <c r="Q36" s="230"/>
      <c r="R36" s="230"/>
      <c r="S36" s="230"/>
      <c r="T36" s="231"/>
      <c r="U36" s="174"/>
      <c r="V36" s="174"/>
      <c r="W36" s="174"/>
      <c r="X36" s="174"/>
      <c r="Y36" s="232"/>
      <c r="Z36" s="228" t="s">
        <v>604</v>
      </c>
      <c r="AA36" s="229"/>
      <c r="AB36" s="229"/>
      <c r="AE36" s="184"/>
      <c r="AF36" s="184"/>
    </row>
    <row r="37" spans="1:32" s="1" customFormat="1" ht="19.5" customHeight="1" x14ac:dyDescent="0.3">
      <c r="A37" s="409"/>
      <c r="B37" s="396"/>
      <c r="C37" s="332"/>
      <c r="D37" s="225" t="s">
        <v>114</v>
      </c>
      <c r="E37" s="174" t="s">
        <v>155</v>
      </c>
      <c r="F37" s="174">
        <v>2</v>
      </c>
      <c r="G37" s="176" t="s">
        <v>35</v>
      </c>
      <c r="H37" s="174">
        <v>27</v>
      </c>
      <c r="I37" s="176"/>
      <c r="J37" s="174"/>
      <c r="K37" s="174"/>
      <c r="L37" s="174"/>
      <c r="M37" s="174"/>
      <c r="N37" s="230"/>
      <c r="O37" s="230"/>
      <c r="P37" s="230"/>
      <c r="Q37" s="230"/>
      <c r="R37" s="230"/>
      <c r="S37" s="230"/>
      <c r="T37" s="231"/>
      <c r="U37" s="174"/>
      <c r="V37" s="174"/>
      <c r="W37" s="174"/>
      <c r="X37" s="174"/>
      <c r="Y37" s="232"/>
      <c r="Z37" s="228" t="s">
        <v>604</v>
      </c>
      <c r="AA37" s="229"/>
      <c r="AB37" s="229"/>
      <c r="AE37" s="184"/>
      <c r="AF37" s="184"/>
    </row>
    <row r="38" spans="1:32" s="1" customFormat="1" ht="19.5" customHeight="1" x14ac:dyDescent="0.3">
      <c r="A38" s="409"/>
      <c r="B38" s="396"/>
      <c r="C38" s="332"/>
      <c r="D38" s="225" t="s">
        <v>44</v>
      </c>
      <c r="E38" s="176" t="s">
        <v>87</v>
      </c>
      <c r="F38" s="174">
        <v>2</v>
      </c>
      <c r="G38" s="176" t="s">
        <v>35</v>
      </c>
      <c r="H38" s="174">
        <v>20</v>
      </c>
      <c r="I38" s="176"/>
      <c r="J38" s="174"/>
      <c r="K38" s="174"/>
      <c r="L38" s="174"/>
      <c r="M38" s="174"/>
      <c r="N38" s="230"/>
      <c r="O38" s="230"/>
      <c r="P38" s="230"/>
      <c r="Q38" s="230"/>
      <c r="R38" s="230"/>
      <c r="S38" s="230"/>
      <c r="T38" s="231"/>
      <c r="U38" s="174"/>
      <c r="V38" s="174"/>
      <c r="W38" s="174"/>
      <c r="X38" s="174"/>
      <c r="Y38" s="232"/>
      <c r="Z38" s="228" t="s">
        <v>604</v>
      </c>
      <c r="AA38" s="229"/>
      <c r="AB38" s="229"/>
      <c r="AE38" s="184"/>
      <c r="AF38" s="184"/>
    </row>
    <row r="39" spans="1:32" s="1" customFormat="1" ht="19.5" customHeight="1" x14ac:dyDescent="0.3">
      <c r="A39" s="409"/>
      <c r="B39" s="396"/>
      <c r="C39" s="332"/>
      <c r="D39" s="174" t="s">
        <v>43</v>
      </c>
      <c r="E39" s="174" t="s">
        <v>111</v>
      </c>
      <c r="F39" s="174">
        <v>2</v>
      </c>
      <c r="G39" s="174" t="s">
        <v>35</v>
      </c>
      <c r="H39" s="174">
        <v>12</v>
      </c>
      <c r="I39" s="176"/>
      <c r="J39" s="174">
        <v>38</v>
      </c>
      <c r="K39" s="174"/>
      <c r="L39" s="174"/>
      <c r="M39" s="174"/>
      <c r="N39" s="174"/>
      <c r="O39" s="174">
        <v>7</v>
      </c>
      <c r="P39" s="174"/>
      <c r="Q39" s="230"/>
      <c r="R39" s="230"/>
      <c r="S39" s="230"/>
      <c r="T39" s="231"/>
      <c r="U39" s="174"/>
      <c r="V39" s="174"/>
      <c r="W39" s="174"/>
      <c r="X39" s="174"/>
      <c r="Y39" s="232">
        <v>2</v>
      </c>
      <c r="Z39" s="228" t="s">
        <v>607</v>
      </c>
      <c r="AA39" s="229"/>
      <c r="AB39" s="229"/>
      <c r="AE39" s="184"/>
      <c r="AF39" s="184"/>
    </row>
    <row r="40" spans="1:32" s="1" customFormat="1" ht="19.5" customHeight="1" x14ac:dyDescent="0.3">
      <c r="A40" s="409"/>
      <c r="B40" s="396"/>
      <c r="C40" s="332"/>
      <c r="D40" s="225" t="s">
        <v>46</v>
      </c>
      <c r="E40" s="176" t="s">
        <v>86</v>
      </c>
      <c r="F40" s="174">
        <v>2</v>
      </c>
      <c r="G40" s="176" t="s">
        <v>35</v>
      </c>
      <c r="H40" s="176">
        <v>19</v>
      </c>
      <c r="I40" s="176"/>
      <c r="J40" s="174"/>
      <c r="K40" s="174"/>
      <c r="L40" s="174"/>
      <c r="M40" s="174"/>
      <c r="N40" s="230"/>
      <c r="O40" s="230"/>
      <c r="P40" s="230"/>
      <c r="Q40" s="230"/>
      <c r="R40" s="230"/>
      <c r="S40" s="230"/>
      <c r="T40" s="231"/>
      <c r="U40" s="174"/>
      <c r="V40" s="174"/>
      <c r="W40" s="174"/>
      <c r="X40" s="174"/>
      <c r="Y40" s="232">
        <v>0</v>
      </c>
      <c r="Z40" s="228" t="s">
        <v>607</v>
      </c>
      <c r="AA40" s="229"/>
      <c r="AB40" s="229"/>
      <c r="AE40" s="184"/>
      <c r="AF40" s="184"/>
    </row>
    <row r="41" spans="1:32" s="1" customFormat="1" ht="19.5" customHeight="1" x14ac:dyDescent="0.3">
      <c r="A41" s="409"/>
      <c r="B41" s="396"/>
      <c r="C41" s="332"/>
      <c r="D41" s="225" t="s">
        <v>46</v>
      </c>
      <c r="E41" s="176" t="s">
        <v>88</v>
      </c>
      <c r="F41" s="174">
        <v>2</v>
      </c>
      <c r="G41" s="176" t="s">
        <v>35</v>
      </c>
      <c r="H41" s="176">
        <v>18</v>
      </c>
      <c r="I41" s="176"/>
      <c r="J41" s="174"/>
      <c r="K41" s="174"/>
      <c r="L41" s="174"/>
      <c r="M41" s="174"/>
      <c r="N41" s="230"/>
      <c r="O41" s="230"/>
      <c r="P41" s="230"/>
      <c r="Q41" s="230"/>
      <c r="R41" s="230"/>
      <c r="S41" s="230"/>
      <c r="T41" s="231"/>
      <c r="U41" s="174"/>
      <c r="V41" s="174"/>
      <c r="W41" s="174"/>
      <c r="X41" s="174"/>
      <c r="Y41" s="232"/>
      <c r="Z41" s="228" t="s">
        <v>607</v>
      </c>
      <c r="AA41" s="229"/>
      <c r="AB41" s="229"/>
      <c r="AE41" s="184"/>
      <c r="AF41" s="184"/>
    </row>
    <row r="42" spans="1:32" s="1" customFormat="1" ht="19.5" customHeight="1" x14ac:dyDescent="0.3">
      <c r="A42" s="409"/>
      <c r="B42" s="396"/>
      <c r="C42" s="332"/>
      <c r="D42" s="225" t="s">
        <v>114</v>
      </c>
      <c r="E42" s="174" t="s">
        <v>155</v>
      </c>
      <c r="F42" s="174">
        <v>2</v>
      </c>
      <c r="G42" s="176" t="s">
        <v>35</v>
      </c>
      <c r="H42" s="174">
        <v>27</v>
      </c>
      <c r="I42" s="176"/>
      <c r="J42" s="174">
        <v>38</v>
      </c>
      <c r="K42" s="174"/>
      <c r="L42" s="174"/>
      <c r="M42" s="174"/>
      <c r="N42" s="174"/>
      <c r="O42" s="174">
        <v>7</v>
      </c>
      <c r="P42" s="230"/>
      <c r="Q42" s="230"/>
      <c r="R42" s="230"/>
      <c r="S42" s="230"/>
      <c r="T42" s="231"/>
      <c r="U42" s="174"/>
      <c r="V42" s="174"/>
      <c r="W42" s="174"/>
      <c r="X42" s="174"/>
      <c r="Y42" s="232">
        <v>1.5</v>
      </c>
      <c r="Z42" s="228" t="s">
        <v>607</v>
      </c>
      <c r="AA42" s="229"/>
      <c r="AB42" s="229"/>
      <c r="AE42" s="184"/>
      <c r="AF42" s="184"/>
    </row>
    <row r="43" spans="1:32" s="1" customFormat="1" ht="19.5" customHeight="1" x14ac:dyDescent="0.3">
      <c r="A43" s="409"/>
      <c r="B43" s="396"/>
      <c r="C43" s="332"/>
      <c r="D43" s="225" t="s">
        <v>44</v>
      </c>
      <c r="E43" s="176" t="s">
        <v>87</v>
      </c>
      <c r="F43" s="174">
        <v>2</v>
      </c>
      <c r="G43" s="176" t="s">
        <v>35</v>
      </c>
      <c r="H43" s="174">
        <v>20</v>
      </c>
      <c r="I43" s="176"/>
      <c r="J43" s="174"/>
      <c r="K43" s="174"/>
      <c r="L43" s="174"/>
      <c r="M43" s="174"/>
      <c r="N43" s="230"/>
      <c r="O43" s="230"/>
      <c r="P43" s="230"/>
      <c r="Q43" s="230"/>
      <c r="R43" s="230"/>
      <c r="S43" s="230"/>
      <c r="T43" s="231"/>
      <c r="U43" s="174"/>
      <c r="V43" s="174"/>
      <c r="W43" s="174"/>
      <c r="X43" s="174"/>
      <c r="Y43" s="232"/>
      <c r="Z43" s="228" t="s">
        <v>607</v>
      </c>
      <c r="AA43" s="229"/>
      <c r="AB43" s="229"/>
      <c r="AE43" s="184"/>
      <c r="AF43" s="184"/>
    </row>
    <row r="44" spans="1:32" s="1" customFormat="1" ht="19.5" customHeight="1" x14ac:dyDescent="0.3">
      <c r="A44" s="409"/>
      <c r="B44" s="396"/>
      <c r="C44" s="332"/>
      <c r="D44" s="174" t="s">
        <v>60</v>
      </c>
      <c r="E44" s="174" t="s">
        <v>98</v>
      </c>
      <c r="F44" s="174">
        <v>2</v>
      </c>
      <c r="G44" s="176" t="s">
        <v>35</v>
      </c>
      <c r="H44" s="176">
        <v>15</v>
      </c>
      <c r="I44" s="176">
        <v>15</v>
      </c>
      <c r="J44" s="174"/>
      <c r="K44" s="174"/>
      <c r="L44" s="174"/>
      <c r="M44" s="174"/>
      <c r="N44" s="230"/>
      <c r="O44" s="230"/>
      <c r="P44" s="230"/>
      <c r="Q44" s="230"/>
      <c r="R44" s="230"/>
      <c r="S44" s="230"/>
      <c r="T44" s="231"/>
      <c r="U44" s="174"/>
      <c r="V44" s="174"/>
      <c r="W44" s="174"/>
      <c r="X44" s="174"/>
      <c r="Y44" s="232"/>
      <c r="Z44" s="228" t="s">
        <v>604</v>
      </c>
      <c r="AA44" s="229"/>
      <c r="AB44" s="229"/>
      <c r="AE44" s="184"/>
      <c r="AF44" s="184"/>
    </row>
    <row r="45" spans="1:32" s="1" customFormat="1" ht="19.5" customHeight="1" x14ac:dyDescent="0.3">
      <c r="A45" s="409"/>
      <c r="B45" s="396"/>
      <c r="C45" s="332"/>
      <c r="D45" s="176" t="s">
        <v>210</v>
      </c>
      <c r="E45" s="176" t="s">
        <v>251</v>
      </c>
      <c r="F45" s="174">
        <v>2</v>
      </c>
      <c r="G45" s="176" t="s">
        <v>35</v>
      </c>
      <c r="H45" s="176">
        <v>6</v>
      </c>
      <c r="I45" s="176"/>
      <c r="J45" s="174"/>
      <c r="K45" s="174"/>
      <c r="L45" s="174"/>
      <c r="M45" s="174"/>
      <c r="N45" s="230"/>
      <c r="O45" s="230"/>
      <c r="P45" s="230"/>
      <c r="Q45" s="230"/>
      <c r="R45" s="230"/>
      <c r="S45" s="230"/>
      <c r="T45" s="231"/>
      <c r="U45" s="174"/>
      <c r="V45" s="174"/>
      <c r="W45" s="174"/>
      <c r="X45" s="174"/>
      <c r="Y45" s="232"/>
      <c r="Z45" s="228" t="s">
        <v>604</v>
      </c>
      <c r="AA45" s="229"/>
      <c r="AB45" s="229"/>
      <c r="AE45" s="184"/>
      <c r="AF45" s="184"/>
    </row>
    <row r="46" spans="1:32" s="1" customFormat="1" ht="19.5" customHeight="1" x14ac:dyDescent="0.3">
      <c r="A46" s="409"/>
      <c r="B46" s="396"/>
      <c r="C46" s="332"/>
      <c r="D46" s="174" t="s">
        <v>49</v>
      </c>
      <c r="E46" s="174" t="s">
        <v>91</v>
      </c>
      <c r="F46" s="174">
        <v>2</v>
      </c>
      <c r="G46" s="174" t="s">
        <v>35</v>
      </c>
      <c r="H46" s="174">
        <v>18</v>
      </c>
      <c r="I46" s="176"/>
      <c r="J46" s="174"/>
      <c r="K46" s="174"/>
      <c r="L46" s="174"/>
      <c r="M46" s="174"/>
      <c r="N46" s="230"/>
      <c r="O46" s="230"/>
      <c r="P46" s="230"/>
      <c r="Q46" s="230"/>
      <c r="R46" s="230"/>
      <c r="S46" s="230"/>
      <c r="T46" s="231"/>
      <c r="U46" s="174"/>
      <c r="V46" s="174"/>
      <c r="W46" s="174"/>
      <c r="X46" s="174"/>
      <c r="Y46" s="232"/>
      <c r="Z46" s="228" t="s">
        <v>604</v>
      </c>
      <c r="AA46" s="229"/>
      <c r="AB46" s="229"/>
      <c r="AE46" s="184"/>
      <c r="AF46" s="184"/>
    </row>
    <row r="47" spans="1:32" s="1" customFormat="1" ht="19.5" customHeight="1" x14ac:dyDescent="0.3">
      <c r="A47" s="409"/>
      <c r="B47" s="396"/>
      <c r="C47" s="332"/>
      <c r="D47" s="174" t="s">
        <v>198</v>
      </c>
      <c r="E47" s="174" t="s">
        <v>90</v>
      </c>
      <c r="F47" s="174">
        <v>2</v>
      </c>
      <c r="G47" s="176" t="s">
        <v>35</v>
      </c>
      <c r="H47" s="174">
        <v>10</v>
      </c>
      <c r="I47" s="176"/>
      <c r="J47" s="174"/>
      <c r="K47" s="174"/>
      <c r="L47" s="174"/>
      <c r="M47" s="174"/>
      <c r="N47" s="230"/>
      <c r="O47" s="230"/>
      <c r="P47" s="230"/>
      <c r="Q47" s="230"/>
      <c r="R47" s="230"/>
      <c r="S47" s="230"/>
      <c r="T47" s="231"/>
      <c r="U47" s="174"/>
      <c r="V47" s="174"/>
      <c r="W47" s="174"/>
      <c r="X47" s="174"/>
      <c r="Y47" s="232"/>
      <c r="Z47" s="228" t="s">
        <v>604</v>
      </c>
      <c r="AA47" s="229"/>
      <c r="AB47" s="229"/>
      <c r="AE47" s="184"/>
      <c r="AF47" s="184"/>
    </row>
    <row r="48" spans="1:32" s="1" customFormat="1" ht="19.5" customHeight="1" x14ac:dyDescent="0.3">
      <c r="A48" s="409"/>
      <c r="B48" s="396"/>
      <c r="C48" s="332"/>
      <c r="D48" s="176" t="s">
        <v>81</v>
      </c>
      <c r="E48" s="176" t="s">
        <v>204</v>
      </c>
      <c r="F48" s="174">
        <v>2</v>
      </c>
      <c r="G48" s="176" t="s">
        <v>35</v>
      </c>
      <c r="H48" s="174">
        <v>25</v>
      </c>
      <c r="I48" s="176"/>
      <c r="J48" s="174"/>
      <c r="K48" s="174"/>
      <c r="L48" s="174"/>
      <c r="M48" s="174"/>
      <c r="N48" s="230"/>
      <c r="O48" s="230"/>
      <c r="P48" s="230"/>
      <c r="Q48" s="230"/>
      <c r="R48" s="230"/>
      <c r="S48" s="230"/>
      <c r="T48" s="231"/>
      <c r="U48" s="174"/>
      <c r="V48" s="174"/>
      <c r="W48" s="174"/>
      <c r="X48" s="174"/>
      <c r="Y48" s="232"/>
      <c r="Z48" s="228" t="s">
        <v>604</v>
      </c>
      <c r="AA48" s="229"/>
      <c r="AB48" s="229"/>
      <c r="AE48" s="184"/>
      <c r="AF48" s="184"/>
    </row>
    <row r="49" spans="1:32" s="1" customFormat="1" ht="19.5" customHeight="1" x14ac:dyDescent="0.3">
      <c r="A49" s="409"/>
      <c r="B49" s="396"/>
      <c r="C49" s="332"/>
      <c r="D49" s="176" t="s">
        <v>81</v>
      </c>
      <c r="E49" s="176" t="s">
        <v>205</v>
      </c>
      <c r="F49" s="174">
        <v>2</v>
      </c>
      <c r="G49" s="176" t="s">
        <v>35</v>
      </c>
      <c r="H49" s="174">
        <v>25</v>
      </c>
      <c r="I49" s="176"/>
      <c r="J49" s="174"/>
      <c r="K49" s="174"/>
      <c r="L49" s="174"/>
      <c r="M49" s="174"/>
      <c r="N49" s="230"/>
      <c r="O49" s="230"/>
      <c r="P49" s="230"/>
      <c r="Q49" s="230"/>
      <c r="R49" s="230"/>
      <c r="S49" s="230"/>
      <c r="T49" s="231"/>
      <c r="U49" s="174"/>
      <c r="V49" s="174"/>
      <c r="W49" s="174"/>
      <c r="X49" s="174"/>
      <c r="Y49" s="232"/>
      <c r="Z49" s="228" t="s">
        <v>604</v>
      </c>
      <c r="AA49" s="229"/>
      <c r="AB49" s="229"/>
      <c r="AE49" s="184"/>
      <c r="AF49" s="184"/>
    </row>
    <row r="50" spans="1:32" s="1" customFormat="1" ht="19.5" customHeight="1" x14ac:dyDescent="0.3">
      <c r="A50" s="409"/>
      <c r="B50" s="396"/>
      <c r="C50" s="332"/>
      <c r="D50" s="176" t="s">
        <v>81</v>
      </c>
      <c r="E50" s="176" t="s">
        <v>206</v>
      </c>
      <c r="F50" s="174">
        <v>2</v>
      </c>
      <c r="G50" s="176" t="s">
        <v>35</v>
      </c>
      <c r="H50" s="174">
        <v>25</v>
      </c>
      <c r="I50" s="176"/>
      <c r="J50" s="174"/>
      <c r="K50" s="174"/>
      <c r="L50" s="174"/>
      <c r="M50" s="174"/>
      <c r="N50" s="230"/>
      <c r="O50" s="230"/>
      <c r="P50" s="230"/>
      <c r="Q50" s="230"/>
      <c r="R50" s="230"/>
      <c r="S50" s="230"/>
      <c r="T50" s="231"/>
      <c r="U50" s="174"/>
      <c r="V50" s="174"/>
      <c r="W50" s="174"/>
      <c r="X50" s="174"/>
      <c r="Y50" s="232"/>
      <c r="Z50" s="228" t="s">
        <v>604</v>
      </c>
      <c r="AA50" s="229"/>
      <c r="AB50" s="229"/>
      <c r="AE50" s="184"/>
      <c r="AF50" s="184"/>
    </row>
    <row r="51" spans="1:32" s="1" customFormat="1" ht="19.5" customHeight="1" x14ac:dyDescent="0.3">
      <c r="A51" s="409"/>
      <c r="B51" s="396"/>
      <c r="C51" s="332"/>
      <c r="D51" s="174" t="s">
        <v>61</v>
      </c>
      <c r="E51" s="174" t="s">
        <v>153</v>
      </c>
      <c r="F51" s="174">
        <v>2</v>
      </c>
      <c r="G51" s="176" t="s">
        <v>35</v>
      </c>
      <c r="H51" s="176">
        <v>11</v>
      </c>
      <c r="I51" s="176"/>
      <c r="J51" s="174"/>
      <c r="K51" s="174"/>
      <c r="L51" s="174"/>
      <c r="M51" s="174"/>
      <c r="N51" s="230"/>
      <c r="O51" s="230"/>
      <c r="P51" s="230"/>
      <c r="Q51" s="230"/>
      <c r="R51" s="230"/>
      <c r="S51" s="230"/>
      <c r="T51" s="231"/>
      <c r="U51" s="174"/>
      <c r="V51" s="174"/>
      <c r="W51" s="174"/>
      <c r="X51" s="174"/>
      <c r="Y51" s="232"/>
      <c r="Z51" s="228" t="s">
        <v>604</v>
      </c>
      <c r="AA51" s="229"/>
      <c r="AB51" s="229"/>
      <c r="AE51" s="184"/>
      <c r="AF51" s="184"/>
    </row>
    <row r="52" spans="1:32" s="1" customFormat="1" ht="19.5" customHeight="1" x14ac:dyDescent="0.3">
      <c r="A52" s="409"/>
      <c r="B52" s="396"/>
      <c r="C52" s="332"/>
      <c r="D52" s="174" t="s">
        <v>60</v>
      </c>
      <c r="E52" s="174" t="s">
        <v>98</v>
      </c>
      <c r="F52" s="174">
        <v>2</v>
      </c>
      <c r="G52" s="176" t="s">
        <v>35</v>
      </c>
      <c r="H52" s="176">
        <v>15</v>
      </c>
      <c r="I52" s="176"/>
      <c r="J52" s="174">
        <v>38</v>
      </c>
      <c r="K52" s="174"/>
      <c r="L52" s="174"/>
      <c r="M52" s="174"/>
      <c r="N52" s="174"/>
      <c r="O52" s="174">
        <v>7</v>
      </c>
      <c r="P52" s="174"/>
      <c r="Q52" s="230"/>
      <c r="R52" s="230"/>
      <c r="S52" s="230"/>
      <c r="T52" s="231"/>
      <c r="U52" s="174"/>
      <c r="V52" s="174"/>
      <c r="W52" s="174"/>
      <c r="X52" s="174"/>
      <c r="Y52" s="232">
        <v>2</v>
      </c>
      <c r="Z52" s="228" t="s">
        <v>608</v>
      </c>
      <c r="AA52" s="229"/>
      <c r="AB52" s="229"/>
      <c r="AE52" s="184"/>
      <c r="AF52" s="184"/>
    </row>
    <row r="53" spans="1:32" s="1" customFormat="1" ht="19.5" customHeight="1" x14ac:dyDescent="0.3">
      <c r="A53" s="409"/>
      <c r="B53" s="396"/>
      <c r="C53" s="332"/>
      <c r="D53" s="176" t="s">
        <v>210</v>
      </c>
      <c r="E53" s="176" t="s">
        <v>251</v>
      </c>
      <c r="F53" s="174">
        <v>2</v>
      </c>
      <c r="G53" s="176" t="s">
        <v>35</v>
      </c>
      <c r="H53" s="176">
        <v>6</v>
      </c>
      <c r="I53" s="176"/>
      <c r="J53" s="174"/>
      <c r="K53" s="174"/>
      <c r="L53" s="174"/>
      <c r="M53" s="174"/>
      <c r="N53" s="230"/>
      <c r="O53" s="230"/>
      <c r="P53" s="230"/>
      <c r="Q53" s="230"/>
      <c r="R53" s="230"/>
      <c r="S53" s="230"/>
      <c r="T53" s="231"/>
      <c r="U53" s="174"/>
      <c r="V53" s="174"/>
      <c r="W53" s="174"/>
      <c r="X53" s="174"/>
      <c r="Y53" s="232">
        <v>0</v>
      </c>
      <c r="Z53" s="228" t="s">
        <v>608</v>
      </c>
      <c r="AA53" s="229"/>
      <c r="AB53" s="229"/>
      <c r="AE53" s="184"/>
      <c r="AF53" s="184"/>
    </row>
    <row r="54" spans="1:32" s="1" customFormat="1" ht="19.5" customHeight="1" x14ac:dyDescent="0.3">
      <c r="A54" s="409"/>
      <c r="B54" s="396"/>
      <c r="C54" s="332"/>
      <c r="D54" s="174" t="s">
        <v>49</v>
      </c>
      <c r="E54" s="174" t="s">
        <v>91</v>
      </c>
      <c r="F54" s="174">
        <v>2</v>
      </c>
      <c r="G54" s="174" t="s">
        <v>35</v>
      </c>
      <c r="H54" s="174">
        <v>18</v>
      </c>
      <c r="I54" s="176"/>
      <c r="J54" s="174"/>
      <c r="K54" s="174"/>
      <c r="L54" s="174"/>
      <c r="M54" s="174"/>
      <c r="N54" s="230"/>
      <c r="O54" s="230"/>
      <c r="P54" s="230"/>
      <c r="Q54" s="230"/>
      <c r="R54" s="230"/>
      <c r="S54" s="230"/>
      <c r="T54" s="231"/>
      <c r="U54" s="174"/>
      <c r="V54" s="174"/>
      <c r="W54" s="174"/>
      <c r="X54" s="174"/>
      <c r="Y54" s="232">
        <v>0</v>
      </c>
      <c r="Z54" s="228" t="s">
        <v>608</v>
      </c>
      <c r="AA54" s="229"/>
      <c r="AB54" s="229"/>
      <c r="AE54" s="184"/>
      <c r="AF54" s="184"/>
    </row>
    <row r="55" spans="1:32" s="1" customFormat="1" ht="19.5" customHeight="1" x14ac:dyDescent="0.3">
      <c r="A55" s="409"/>
      <c r="B55" s="396"/>
      <c r="C55" s="332"/>
      <c r="D55" s="174" t="s">
        <v>198</v>
      </c>
      <c r="E55" s="174" t="s">
        <v>90</v>
      </c>
      <c r="F55" s="174">
        <v>2</v>
      </c>
      <c r="G55" s="176" t="s">
        <v>35</v>
      </c>
      <c r="H55" s="174">
        <v>10</v>
      </c>
      <c r="I55" s="176"/>
      <c r="J55" s="174"/>
      <c r="K55" s="174"/>
      <c r="L55" s="174"/>
      <c r="M55" s="174"/>
      <c r="N55" s="230"/>
      <c r="O55" s="230"/>
      <c r="P55" s="230"/>
      <c r="Q55" s="230"/>
      <c r="R55" s="230"/>
      <c r="S55" s="230"/>
      <c r="T55" s="231"/>
      <c r="U55" s="174"/>
      <c r="V55" s="174"/>
      <c r="W55" s="174"/>
      <c r="X55" s="174"/>
      <c r="Y55" s="232">
        <v>0</v>
      </c>
      <c r="Z55" s="228" t="s">
        <v>608</v>
      </c>
      <c r="AA55" s="229"/>
      <c r="AB55" s="229"/>
      <c r="AE55" s="184"/>
      <c r="AF55" s="184"/>
    </row>
    <row r="56" spans="1:32" s="1" customFormat="1" ht="19.5" customHeight="1" x14ac:dyDescent="0.3">
      <c r="A56" s="409"/>
      <c r="B56" s="396"/>
      <c r="C56" s="332"/>
      <c r="D56" s="176" t="s">
        <v>81</v>
      </c>
      <c r="E56" s="176" t="s">
        <v>204</v>
      </c>
      <c r="F56" s="174">
        <v>2</v>
      </c>
      <c r="G56" s="176" t="s">
        <v>35</v>
      </c>
      <c r="H56" s="174">
        <v>25</v>
      </c>
      <c r="I56" s="176"/>
      <c r="J56" s="174">
        <v>38</v>
      </c>
      <c r="K56" s="174"/>
      <c r="L56" s="174"/>
      <c r="M56" s="174"/>
      <c r="N56" s="174"/>
      <c r="O56" s="174">
        <v>7</v>
      </c>
      <c r="P56" s="230"/>
      <c r="Q56" s="230"/>
      <c r="R56" s="230"/>
      <c r="S56" s="230"/>
      <c r="T56" s="231"/>
      <c r="U56" s="174"/>
      <c r="V56" s="174"/>
      <c r="W56" s="174"/>
      <c r="X56" s="174"/>
      <c r="Y56" s="232">
        <v>1.5</v>
      </c>
      <c r="Z56" s="228" t="s">
        <v>608</v>
      </c>
      <c r="AA56" s="229"/>
      <c r="AB56" s="229"/>
      <c r="AE56" s="184"/>
      <c r="AF56" s="184"/>
    </row>
    <row r="57" spans="1:32" s="1" customFormat="1" ht="19.5" customHeight="1" x14ac:dyDescent="0.25">
      <c r="A57" s="409"/>
      <c r="B57" s="396"/>
      <c r="C57" s="332"/>
      <c r="D57" s="176" t="s">
        <v>81</v>
      </c>
      <c r="E57" s="176" t="s">
        <v>205</v>
      </c>
      <c r="F57" s="174">
        <v>2</v>
      </c>
      <c r="G57" s="176" t="s">
        <v>35</v>
      </c>
      <c r="H57" s="174">
        <v>25</v>
      </c>
      <c r="I57" s="176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8" t="s">
        <v>608</v>
      </c>
      <c r="AA57" s="229"/>
      <c r="AB57" s="229"/>
      <c r="AE57" s="184"/>
      <c r="AF57" s="184"/>
    </row>
    <row r="58" spans="1:32" s="1" customFormat="1" ht="19.5" customHeight="1" x14ac:dyDescent="0.3">
      <c r="A58" s="409"/>
      <c r="B58" s="396"/>
      <c r="C58" s="332"/>
      <c r="D58" s="176" t="s">
        <v>81</v>
      </c>
      <c r="E58" s="176" t="s">
        <v>206</v>
      </c>
      <c r="F58" s="174">
        <v>2</v>
      </c>
      <c r="G58" s="176" t="s">
        <v>35</v>
      </c>
      <c r="H58" s="174">
        <v>25</v>
      </c>
      <c r="I58" s="176"/>
      <c r="J58" s="174">
        <v>38</v>
      </c>
      <c r="K58" s="174"/>
      <c r="L58" s="174"/>
      <c r="M58" s="174"/>
      <c r="N58" s="174"/>
      <c r="O58" s="174">
        <v>7</v>
      </c>
      <c r="P58" s="230"/>
      <c r="Q58" s="230"/>
      <c r="R58" s="230"/>
      <c r="S58" s="230"/>
      <c r="T58" s="231"/>
      <c r="U58" s="174"/>
      <c r="V58" s="174"/>
      <c r="W58" s="174"/>
      <c r="X58" s="174"/>
      <c r="Y58" s="232">
        <v>1.5</v>
      </c>
      <c r="Z58" s="228" t="s">
        <v>608</v>
      </c>
      <c r="AA58" s="229"/>
      <c r="AB58" s="229"/>
      <c r="AE58" s="184"/>
      <c r="AF58" s="184"/>
    </row>
    <row r="59" spans="1:32" s="1" customFormat="1" ht="19.5" customHeight="1" x14ac:dyDescent="0.3">
      <c r="A59" s="409"/>
      <c r="B59" s="396"/>
      <c r="C59" s="332"/>
      <c r="D59" s="174" t="s">
        <v>61</v>
      </c>
      <c r="E59" s="174" t="s">
        <v>153</v>
      </c>
      <c r="F59" s="174">
        <v>2</v>
      </c>
      <c r="G59" s="176" t="s">
        <v>35</v>
      </c>
      <c r="H59" s="176">
        <v>11</v>
      </c>
      <c r="I59" s="176"/>
      <c r="J59" s="174"/>
      <c r="K59" s="174"/>
      <c r="L59" s="174"/>
      <c r="M59" s="174"/>
      <c r="N59" s="174"/>
      <c r="O59" s="174"/>
      <c r="P59" s="174"/>
      <c r="Q59" s="230"/>
      <c r="R59" s="230"/>
      <c r="S59" s="230"/>
      <c r="T59" s="231"/>
      <c r="U59" s="174"/>
      <c r="V59" s="174"/>
      <c r="W59" s="174"/>
      <c r="X59" s="174"/>
      <c r="Y59" s="232">
        <v>0</v>
      </c>
      <c r="Z59" s="228" t="s">
        <v>608</v>
      </c>
      <c r="AA59" s="229"/>
      <c r="AB59" s="229"/>
      <c r="AE59" s="184"/>
      <c r="AF59" s="184"/>
    </row>
    <row r="60" spans="1:32" s="1" customFormat="1" ht="19.5" customHeight="1" x14ac:dyDescent="0.3">
      <c r="A60" s="409"/>
      <c r="B60" s="396"/>
      <c r="C60" s="332"/>
      <c r="D60" s="225" t="s">
        <v>52</v>
      </c>
      <c r="E60" s="176" t="s">
        <v>303</v>
      </c>
      <c r="F60" s="174">
        <v>2</v>
      </c>
      <c r="G60" s="176" t="s">
        <v>35</v>
      </c>
      <c r="H60" s="176">
        <v>30</v>
      </c>
      <c r="I60" s="176">
        <v>15</v>
      </c>
      <c r="J60" s="174"/>
      <c r="K60" s="174"/>
      <c r="L60" s="174"/>
      <c r="M60" s="174"/>
      <c r="N60" s="174"/>
      <c r="O60" s="174"/>
      <c r="P60" s="174"/>
      <c r="Q60" s="230"/>
      <c r="R60" s="230"/>
      <c r="S60" s="230"/>
      <c r="T60" s="231"/>
      <c r="U60" s="174"/>
      <c r="V60" s="174"/>
      <c r="W60" s="174"/>
      <c r="X60" s="174"/>
      <c r="Y60" s="232"/>
      <c r="Z60" s="228" t="s">
        <v>604</v>
      </c>
      <c r="AA60" s="229"/>
      <c r="AB60" s="229"/>
      <c r="AC60" s="17"/>
      <c r="AD60" s="17"/>
      <c r="AE60" s="185"/>
      <c r="AF60" s="184"/>
    </row>
    <row r="61" spans="1:32" s="1" customFormat="1" ht="19.5" customHeight="1" x14ac:dyDescent="0.3">
      <c r="A61" s="409"/>
      <c r="B61" s="396"/>
      <c r="C61" s="332"/>
      <c r="D61" s="225" t="s">
        <v>52</v>
      </c>
      <c r="E61" s="176" t="s">
        <v>321</v>
      </c>
      <c r="F61" s="174">
        <v>2</v>
      </c>
      <c r="G61" s="176" t="s">
        <v>35</v>
      </c>
      <c r="H61" s="176">
        <v>29</v>
      </c>
      <c r="I61" s="176"/>
      <c r="J61" s="174"/>
      <c r="K61" s="174"/>
      <c r="L61" s="174"/>
      <c r="M61" s="174"/>
      <c r="N61" s="174"/>
      <c r="O61" s="174"/>
      <c r="P61" s="174"/>
      <c r="Q61" s="230"/>
      <c r="R61" s="230"/>
      <c r="S61" s="230"/>
      <c r="T61" s="231"/>
      <c r="U61" s="174"/>
      <c r="V61" s="174"/>
      <c r="W61" s="174"/>
      <c r="X61" s="174"/>
      <c r="Y61" s="232"/>
      <c r="Z61" s="228" t="s">
        <v>604</v>
      </c>
      <c r="AA61" s="229"/>
      <c r="AB61" s="229"/>
      <c r="AC61" s="17"/>
      <c r="AD61" s="17"/>
      <c r="AE61" s="185"/>
      <c r="AF61" s="184"/>
    </row>
    <row r="62" spans="1:32" s="1" customFormat="1" ht="19.5" customHeight="1" x14ac:dyDescent="0.3">
      <c r="A62" s="409"/>
      <c r="B62" s="396"/>
      <c r="C62" s="332"/>
      <c r="D62" s="176" t="s">
        <v>81</v>
      </c>
      <c r="E62" s="176" t="s">
        <v>529</v>
      </c>
      <c r="F62" s="174">
        <v>2</v>
      </c>
      <c r="G62" s="176" t="s">
        <v>35</v>
      </c>
      <c r="H62" s="176">
        <v>25</v>
      </c>
      <c r="I62" s="176"/>
      <c r="J62" s="174"/>
      <c r="K62" s="174"/>
      <c r="L62" s="174"/>
      <c r="M62" s="174"/>
      <c r="N62" s="174"/>
      <c r="O62" s="174"/>
      <c r="P62" s="174"/>
      <c r="Q62" s="230"/>
      <c r="R62" s="230"/>
      <c r="S62" s="230"/>
      <c r="T62" s="231"/>
      <c r="U62" s="174"/>
      <c r="V62" s="174"/>
      <c r="W62" s="174"/>
      <c r="X62" s="174"/>
      <c r="Y62" s="232"/>
      <c r="Z62" s="228" t="s">
        <v>604</v>
      </c>
      <c r="AA62" s="229"/>
      <c r="AB62" s="229"/>
      <c r="AC62" s="17"/>
      <c r="AD62" s="17"/>
      <c r="AE62" s="185"/>
      <c r="AF62" s="184"/>
    </row>
    <row r="63" spans="1:32" s="1" customFormat="1" ht="19.5" customHeight="1" x14ac:dyDescent="0.3">
      <c r="A63" s="409"/>
      <c r="B63" s="396"/>
      <c r="C63" s="332"/>
      <c r="D63" s="176" t="s">
        <v>81</v>
      </c>
      <c r="E63" s="176" t="s">
        <v>530</v>
      </c>
      <c r="F63" s="174">
        <v>2</v>
      </c>
      <c r="G63" s="176" t="s">
        <v>35</v>
      </c>
      <c r="H63" s="176">
        <v>25</v>
      </c>
      <c r="I63" s="176"/>
      <c r="J63" s="174"/>
      <c r="K63" s="174"/>
      <c r="L63" s="174"/>
      <c r="M63" s="174"/>
      <c r="N63" s="174"/>
      <c r="O63" s="174"/>
      <c r="P63" s="174"/>
      <c r="Q63" s="230"/>
      <c r="R63" s="230"/>
      <c r="S63" s="230"/>
      <c r="T63" s="231"/>
      <c r="U63" s="174"/>
      <c r="V63" s="174"/>
      <c r="W63" s="174"/>
      <c r="X63" s="174"/>
      <c r="Y63" s="232"/>
      <c r="Z63" s="228" t="s">
        <v>604</v>
      </c>
      <c r="AA63" s="229"/>
      <c r="AB63" s="229"/>
      <c r="AC63" s="17"/>
      <c r="AD63" s="17"/>
      <c r="AE63" s="185"/>
      <c r="AF63" s="184"/>
    </row>
    <row r="64" spans="1:32" s="1" customFormat="1" ht="19.5" customHeight="1" x14ac:dyDescent="0.3">
      <c r="A64" s="409"/>
      <c r="B64" s="396"/>
      <c r="C64" s="332"/>
      <c r="D64" s="225" t="s">
        <v>52</v>
      </c>
      <c r="E64" s="176" t="s">
        <v>303</v>
      </c>
      <c r="F64" s="174">
        <v>2</v>
      </c>
      <c r="G64" s="176" t="s">
        <v>35</v>
      </c>
      <c r="H64" s="176">
        <v>30</v>
      </c>
      <c r="I64" s="176"/>
      <c r="J64" s="174">
        <v>38</v>
      </c>
      <c r="K64" s="174"/>
      <c r="L64" s="174"/>
      <c r="M64" s="174"/>
      <c r="N64" s="174"/>
      <c r="O64" s="174">
        <v>7</v>
      </c>
      <c r="P64" s="174"/>
      <c r="Q64" s="230"/>
      <c r="R64" s="230"/>
      <c r="S64" s="230"/>
      <c r="T64" s="231"/>
      <c r="U64" s="174"/>
      <c r="V64" s="174"/>
      <c r="W64" s="174"/>
      <c r="X64" s="174"/>
      <c r="Y64" s="232">
        <v>2</v>
      </c>
      <c r="Z64" s="228" t="s">
        <v>609</v>
      </c>
      <c r="AA64" s="229"/>
      <c r="AB64" s="229"/>
      <c r="AC64" s="17"/>
      <c r="AD64" s="17"/>
      <c r="AE64" s="185"/>
      <c r="AF64" s="184"/>
    </row>
    <row r="65" spans="1:32" s="1" customFormat="1" ht="19.5" customHeight="1" x14ac:dyDescent="0.3">
      <c r="A65" s="409"/>
      <c r="B65" s="396"/>
      <c r="C65" s="332"/>
      <c r="D65" s="225" t="s">
        <v>52</v>
      </c>
      <c r="E65" s="176" t="s">
        <v>321</v>
      </c>
      <c r="F65" s="174">
        <v>2</v>
      </c>
      <c r="G65" s="176" t="s">
        <v>35</v>
      </c>
      <c r="H65" s="176">
        <v>29</v>
      </c>
      <c r="I65" s="176"/>
      <c r="J65" s="174">
        <v>38</v>
      </c>
      <c r="K65" s="174"/>
      <c r="L65" s="174"/>
      <c r="M65" s="174"/>
      <c r="N65" s="174"/>
      <c r="O65" s="174">
        <v>7</v>
      </c>
      <c r="P65" s="230"/>
      <c r="Q65" s="230"/>
      <c r="R65" s="230"/>
      <c r="S65" s="230"/>
      <c r="T65" s="231"/>
      <c r="U65" s="174"/>
      <c r="V65" s="174"/>
      <c r="W65" s="174"/>
      <c r="X65" s="174"/>
      <c r="Y65" s="232">
        <v>1.5</v>
      </c>
      <c r="Z65" s="228" t="s">
        <v>609</v>
      </c>
      <c r="AA65" s="229"/>
      <c r="AB65" s="229"/>
      <c r="AC65" s="17"/>
      <c r="AD65" s="17"/>
      <c r="AE65" s="185"/>
      <c r="AF65" s="184"/>
    </row>
    <row r="66" spans="1:32" s="1" customFormat="1" ht="19.5" customHeight="1" x14ac:dyDescent="0.3">
      <c r="A66" s="409"/>
      <c r="B66" s="396"/>
      <c r="C66" s="332"/>
      <c r="D66" s="176" t="s">
        <v>81</v>
      </c>
      <c r="E66" s="176" t="s">
        <v>529</v>
      </c>
      <c r="F66" s="174">
        <v>2</v>
      </c>
      <c r="G66" s="176" t="s">
        <v>35</v>
      </c>
      <c r="H66" s="176">
        <v>25</v>
      </c>
      <c r="I66" s="176"/>
      <c r="J66" s="174">
        <v>38</v>
      </c>
      <c r="K66" s="174"/>
      <c r="L66" s="174"/>
      <c r="M66" s="174"/>
      <c r="N66" s="174"/>
      <c r="O66" s="174">
        <v>7</v>
      </c>
      <c r="P66" s="230"/>
      <c r="Q66" s="230"/>
      <c r="R66" s="230"/>
      <c r="S66" s="230"/>
      <c r="T66" s="231"/>
      <c r="U66" s="174"/>
      <c r="V66" s="174"/>
      <c r="W66" s="174"/>
      <c r="X66" s="174"/>
      <c r="Y66" s="232">
        <v>1.5</v>
      </c>
      <c r="Z66" s="228" t="s">
        <v>607</v>
      </c>
      <c r="AA66" s="229"/>
      <c r="AB66" s="229"/>
      <c r="AC66" s="17"/>
      <c r="AD66" s="17"/>
      <c r="AE66" s="185"/>
      <c r="AF66" s="184"/>
    </row>
    <row r="67" spans="1:32" s="1" customFormat="1" ht="19.5" customHeight="1" x14ac:dyDescent="0.3">
      <c r="A67" s="409"/>
      <c r="B67" s="396"/>
      <c r="C67" s="332"/>
      <c r="D67" s="176" t="s">
        <v>81</v>
      </c>
      <c r="E67" s="176" t="s">
        <v>530</v>
      </c>
      <c r="F67" s="174">
        <v>2</v>
      </c>
      <c r="G67" s="176" t="s">
        <v>35</v>
      </c>
      <c r="H67" s="176">
        <v>25</v>
      </c>
      <c r="I67" s="176"/>
      <c r="J67" s="174"/>
      <c r="K67" s="174"/>
      <c r="L67" s="174"/>
      <c r="M67" s="174"/>
      <c r="N67" s="174"/>
      <c r="O67" s="174"/>
      <c r="P67" s="230"/>
      <c r="Q67" s="230"/>
      <c r="R67" s="230"/>
      <c r="S67" s="230"/>
      <c r="T67" s="231"/>
      <c r="U67" s="174"/>
      <c r="V67" s="174"/>
      <c r="W67" s="174"/>
      <c r="X67" s="174"/>
      <c r="Y67" s="232"/>
      <c r="Z67" s="228" t="s">
        <v>607</v>
      </c>
      <c r="AA67" s="229"/>
      <c r="AB67" s="229"/>
      <c r="AC67" s="17"/>
      <c r="AD67" s="17"/>
      <c r="AE67" s="185"/>
      <c r="AF67" s="184"/>
    </row>
    <row r="68" spans="1:32" s="1" customFormat="1" ht="19.5" customHeight="1" x14ac:dyDescent="0.3">
      <c r="A68" s="409"/>
      <c r="B68" s="396"/>
      <c r="C68" s="332"/>
      <c r="D68" s="174" t="s">
        <v>170</v>
      </c>
      <c r="E68" s="174" t="s">
        <v>540</v>
      </c>
      <c r="F68" s="174">
        <v>2</v>
      </c>
      <c r="G68" s="174" t="s">
        <v>35</v>
      </c>
      <c r="H68" s="176">
        <v>25</v>
      </c>
      <c r="I68" s="176">
        <v>15</v>
      </c>
      <c r="J68" s="174"/>
      <c r="K68" s="174"/>
      <c r="L68" s="174"/>
      <c r="M68" s="174"/>
      <c r="N68" s="174"/>
      <c r="O68" s="174"/>
      <c r="P68" s="230"/>
      <c r="Q68" s="230"/>
      <c r="R68" s="230"/>
      <c r="S68" s="230"/>
      <c r="T68" s="231"/>
      <c r="U68" s="174"/>
      <c r="V68" s="174"/>
      <c r="W68" s="174"/>
      <c r="X68" s="174"/>
      <c r="Y68" s="232"/>
      <c r="Z68" s="228" t="s">
        <v>604</v>
      </c>
      <c r="AA68" s="229"/>
      <c r="AB68" s="229"/>
      <c r="AC68" s="17"/>
      <c r="AD68" s="17"/>
      <c r="AE68" s="185"/>
      <c r="AF68" s="184"/>
    </row>
    <row r="69" spans="1:32" s="1" customFormat="1" ht="19.5" customHeight="1" x14ac:dyDescent="0.3">
      <c r="A69" s="409"/>
      <c r="B69" s="396"/>
      <c r="C69" s="332"/>
      <c r="D69" s="174" t="s">
        <v>170</v>
      </c>
      <c r="E69" s="174" t="s">
        <v>541</v>
      </c>
      <c r="F69" s="174">
        <v>2</v>
      </c>
      <c r="G69" s="174" t="s">
        <v>35</v>
      </c>
      <c r="H69" s="176">
        <v>25</v>
      </c>
      <c r="I69" s="176"/>
      <c r="J69" s="174"/>
      <c r="K69" s="174"/>
      <c r="L69" s="174"/>
      <c r="M69" s="174"/>
      <c r="N69" s="174"/>
      <c r="O69" s="174"/>
      <c r="P69" s="230"/>
      <c r="Q69" s="230"/>
      <c r="R69" s="230"/>
      <c r="S69" s="230"/>
      <c r="T69" s="231"/>
      <c r="U69" s="174"/>
      <c r="V69" s="174"/>
      <c r="W69" s="174"/>
      <c r="X69" s="174"/>
      <c r="Y69" s="232"/>
      <c r="Z69" s="228" t="s">
        <v>604</v>
      </c>
      <c r="AA69" s="229"/>
      <c r="AB69" s="229"/>
      <c r="AC69" s="17"/>
      <c r="AD69" s="17"/>
      <c r="AE69" s="185"/>
      <c r="AF69" s="184"/>
    </row>
    <row r="70" spans="1:32" s="1" customFormat="1" ht="19.5" customHeight="1" x14ac:dyDescent="0.3">
      <c r="A70" s="409"/>
      <c r="B70" s="396"/>
      <c r="C70" s="332"/>
      <c r="D70" s="174" t="s">
        <v>170</v>
      </c>
      <c r="E70" s="174" t="s">
        <v>542</v>
      </c>
      <c r="F70" s="174">
        <v>2</v>
      </c>
      <c r="G70" s="174" t="s">
        <v>35</v>
      </c>
      <c r="H70" s="176">
        <v>30</v>
      </c>
      <c r="I70" s="176"/>
      <c r="J70" s="174"/>
      <c r="K70" s="174"/>
      <c r="L70" s="174"/>
      <c r="M70" s="174"/>
      <c r="N70" s="174"/>
      <c r="O70" s="174"/>
      <c r="P70" s="230"/>
      <c r="Q70" s="230"/>
      <c r="R70" s="230"/>
      <c r="S70" s="230"/>
      <c r="T70" s="231"/>
      <c r="U70" s="174"/>
      <c r="V70" s="174"/>
      <c r="W70" s="174"/>
      <c r="X70" s="174"/>
      <c r="Y70" s="232"/>
      <c r="Z70" s="228" t="s">
        <v>604</v>
      </c>
      <c r="AA70" s="229"/>
      <c r="AB70" s="229"/>
      <c r="AC70" s="17"/>
      <c r="AD70" s="17"/>
      <c r="AE70" s="185"/>
      <c r="AF70" s="184"/>
    </row>
    <row r="71" spans="1:32" s="1" customFormat="1" ht="19.5" customHeight="1" x14ac:dyDescent="0.3">
      <c r="A71" s="409"/>
      <c r="B71" s="396"/>
      <c r="C71" s="332"/>
      <c r="D71" s="174" t="s">
        <v>170</v>
      </c>
      <c r="E71" s="174" t="s">
        <v>294</v>
      </c>
      <c r="F71" s="174">
        <v>2</v>
      </c>
      <c r="G71" s="174" t="s">
        <v>35</v>
      </c>
      <c r="H71" s="176">
        <v>25</v>
      </c>
      <c r="I71" s="176"/>
      <c r="J71" s="174"/>
      <c r="K71" s="174"/>
      <c r="L71" s="174"/>
      <c r="M71" s="174"/>
      <c r="N71" s="174"/>
      <c r="O71" s="174"/>
      <c r="P71" s="230"/>
      <c r="Q71" s="230"/>
      <c r="R71" s="230"/>
      <c r="S71" s="230"/>
      <c r="T71" s="231"/>
      <c r="U71" s="174"/>
      <c r="V71" s="174"/>
      <c r="W71" s="174"/>
      <c r="X71" s="174"/>
      <c r="Y71" s="232"/>
      <c r="Z71" s="228" t="s">
        <v>604</v>
      </c>
      <c r="AA71" s="229"/>
      <c r="AB71" s="229"/>
      <c r="AE71" s="184"/>
      <c r="AF71" s="184"/>
    </row>
    <row r="72" spans="1:32" s="1" customFormat="1" ht="19.5" customHeight="1" x14ac:dyDescent="0.3">
      <c r="A72" s="409"/>
      <c r="B72" s="396"/>
      <c r="C72" s="332"/>
      <c r="D72" s="174" t="s">
        <v>170</v>
      </c>
      <c r="E72" s="174" t="s">
        <v>531</v>
      </c>
      <c r="F72" s="174">
        <v>2</v>
      </c>
      <c r="G72" s="174" t="s">
        <v>35</v>
      </c>
      <c r="H72" s="176">
        <v>25</v>
      </c>
      <c r="I72" s="176"/>
      <c r="J72" s="174"/>
      <c r="K72" s="174"/>
      <c r="L72" s="174"/>
      <c r="M72" s="174"/>
      <c r="N72" s="174"/>
      <c r="O72" s="174"/>
      <c r="P72" s="230"/>
      <c r="Q72" s="230"/>
      <c r="R72" s="230"/>
      <c r="S72" s="230"/>
      <c r="T72" s="231"/>
      <c r="U72" s="174"/>
      <c r="V72" s="174"/>
      <c r="W72" s="174"/>
      <c r="X72" s="174"/>
      <c r="Y72" s="232"/>
      <c r="Z72" s="228" t="s">
        <v>604</v>
      </c>
      <c r="AA72" s="229"/>
      <c r="AB72" s="229"/>
      <c r="AE72" s="184"/>
      <c r="AF72" s="184"/>
    </row>
    <row r="73" spans="1:32" s="1" customFormat="1" ht="19.5" customHeight="1" x14ac:dyDescent="0.3">
      <c r="A73" s="409"/>
      <c r="B73" s="396"/>
      <c r="C73" s="332"/>
      <c r="D73" s="174" t="s">
        <v>170</v>
      </c>
      <c r="E73" s="174" t="s">
        <v>540</v>
      </c>
      <c r="F73" s="174">
        <v>2</v>
      </c>
      <c r="G73" s="174" t="s">
        <v>35</v>
      </c>
      <c r="H73" s="176">
        <v>25</v>
      </c>
      <c r="I73" s="176"/>
      <c r="J73" s="174">
        <v>38</v>
      </c>
      <c r="K73" s="174"/>
      <c r="L73" s="174"/>
      <c r="M73" s="174"/>
      <c r="N73" s="174"/>
      <c r="O73" s="174">
        <v>7</v>
      </c>
      <c r="P73" s="174"/>
      <c r="Q73" s="230"/>
      <c r="R73" s="230"/>
      <c r="S73" s="230"/>
      <c r="T73" s="231"/>
      <c r="U73" s="174"/>
      <c r="V73" s="174"/>
      <c r="W73" s="174"/>
      <c r="X73" s="174"/>
      <c r="Y73" s="232">
        <v>2</v>
      </c>
      <c r="Z73" s="228" t="s">
        <v>610</v>
      </c>
      <c r="AA73" s="229"/>
      <c r="AB73" s="229"/>
      <c r="AE73" s="184"/>
      <c r="AF73" s="184"/>
    </row>
    <row r="74" spans="1:32" s="1" customFormat="1" ht="19.5" customHeight="1" x14ac:dyDescent="0.3">
      <c r="A74" s="409"/>
      <c r="B74" s="396"/>
      <c r="C74" s="332"/>
      <c r="D74" s="174" t="s">
        <v>170</v>
      </c>
      <c r="E74" s="174" t="s">
        <v>541</v>
      </c>
      <c r="F74" s="174">
        <v>2</v>
      </c>
      <c r="G74" s="174" t="s">
        <v>35</v>
      </c>
      <c r="H74" s="176">
        <v>25</v>
      </c>
      <c r="I74" s="176"/>
      <c r="J74" s="174"/>
      <c r="K74" s="174"/>
      <c r="L74" s="174"/>
      <c r="M74" s="174"/>
      <c r="N74" s="174"/>
      <c r="O74" s="174"/>
      <c r="P74" s="174"/>
      <c r="Q74" s="230"/>
      <c r="R74" s="230"/>
      <c r="S74" s="230"/>
      <c r="T74" s="231"/>
      <c r="U74" s="174"/>
      <c r="V74" s="174"/>
      <c r="W74" s="174"/>
      <c r="X74" s="174"/>
      <c r="Y74" s="232"/>
      <c r="Z74" s="228" t="s">
        <v>610</v>
      </c>
      <c r="AA74" s="229"/>
      <c r="AB74" s="229"/>
      <c r="AE74" s="184"/>
      <c r="AF74" s="184"/>
    </row>
    <row r="75" spans="1:32" s="1" customFormat="1" ht="19.5" customHeight="1" x14ac:dyDescent="0.3">
      <c r="A75" s="409"/>
      <c r="B75" s="396"/>
      <c r="C75" s="332"/>
      <c r="D75" s="174" t="s">
        <v>170</v>
      </c>
      <c r="E75" s="174" t="s">
        <v>542</v>
      </c>
      <c r="F75" s="174">
        <v>2</v>
      </c>
      <c r="G75" s="174" t="s">
        <v>35</v>
      </c>
      <c r="H75" s="176">
        <v>30</v>
      </c>
      <c r="I75" s="176"/>
      <c r="J75" s="174">
        <v>38</v>
      </c>
      <c r="K75" s="174"/>
      <c r="L75" s="174"/>
      <c r="M75" s="174"/>
      <c r="N75" s="174"/>
      <c r="O75" s="174">
        <v>7</v>
      </c>
      <c r="P75" s="174"/>
      <c r="Q75" s="230"/>
      <c r="R75" s="230"/>
      <c r="S75" s="230"/>
      <c r="T75" s="231"/>
      <c r="U75" s="174"/>
      <c r="V75" s="174"/>
      <c r="W75" s="174"/>
      <c r="X75" s="174"/>
      <c r="Y75" s="232">
        <v>1.5</v>
      </c>
      <c r="Z75" s="228" t="s">
        <v>610</v>
      </c>
      <c r="AA75" s="229"/>
      <c r="AB75" s="229"/>
      <c r="AE75" s="184"/>
      <c r="AF75" s="184"/>
    </row>
    <row r="76" spans="1:32" s="1" customFormat="1" ht="19.5" customHeight="1" x14ac:dyDescent="0.3">
      <c r="A76" s="409"/>
      <c r="B76" s="396"/>
      <c r="C76" s="332"/>
      <c r="D76" s="174" t="s">
        <v>170</v>
      </c>
      <c r="E76" s="174" t="s">
        <v>294</v>
      </c>
      <c r="F76" s="174">
        <v>2</v>
      </c>
      <c r="G76" s="174" t="s">
        <v>35</v>
      </c>
      <c r="H76" s="176">
        <v>25</v>
      </c>
      <c r="I76" s="176"/>
      <c r="J76" s="174">
        <v>38</v>
      </c>
      <c r="K76" s="174"/>
      <c r="L76" s="174"/>
      <c r="M76" s="174"/>
      <c r="N76" s="174"/>
      <c r="O76" s="174">
        <v>7</v>
      </c>
      <c r="P76" s="174"/>
      <c r="Q76" s="230"/>
      <c r="R76" s="230"/>
      <c r="S76" s="230"/>
      <c r="T76" s="231"/>
      <c r="U76" s="174"/>
      <c r="V76" s="174"/>
      <c r="W76" s="174"/>
      <c r="X76" s="174"/>
      <c r="Y76" s="232">
        <v>1.5</v>
      </c>
      <c r="Z76" s="228" t="s">
        <v>610</v>
      </c>
      <c r="AA76" s="229"/>
      <c r="AB76" s="229"/>
      <c r="AE76" s="184"/>
      <c r="AF76" s="184"/>
    </row>
    <row r="77" spans="1:32" s="1" customFormat="1" ht="19.5" customHeight="1" x14ac:dyDescent="0.3">
      <c r="A77" s="409"/>
      <c r="B77" s="396"/>
      <c r="C77" s="332"/>
      <c r="D77" s="174" t="s">
        <v>170</v>
      </c>
      <c r="E77" s="174" t="s">
        <v>531</v>
      </c>
      <c r="F77" s="174">
        <v>2</v>
      </c>
      <c r="G77" s="174" t="s">
        <v>35</v>
      </c>
      <c r="H77" s="176">
        <v>25</v>
      </c>
      <c r="I77" s="176"/>
      <c r="J77" s="174"/>
      <c r="K77" s="174"/>
      <c r="L77" s="174"/>
      <c r="M77" s="174"/>
      <c r="N77" s="174"/>
      <c r="O77" s="174"/>
      <c r="P77" s="174"/>
      <c r="Q77" s="230"/>
      <c r="R77" s="230"/>
      <c r="S77" s="230"/>
      <c r="T77" s="231"/>
      <c r="U77" s="174"/>
      <c r="V77" s="174"/>
      <c r="W77" s="174"/>
      <c r="X77" s="174"/>
      <c r="Y77" s="232"/>
      <c r="Z77" s="228" t="s">
        <v>610</v>
      </c>
      <c r="AA77" s="229"/>
      <c r="AB77" s="229"/>
      <c r="AE77" s="184"/>
      <c r="AF77" s="184"/>
    </row>
    <row r="78" spans="1:32" s="1" customFormat="1" ht="19.5" customHeight="1" x14ac:dyDescent="0.3">
      <c r="A78" s="409"/>
      <c r="B78" s="396"/>
      <c r="C78" s="332"/>
      <c r="D78" s="174" t="s">
        <v>61</v>
      </c>
      <c r="E78" s="174" t="s">
        <v>298</v>
      </c>
      <c r="F78" s="174">
        <v>2</v>
      </c>
      <c r="G78" s="176" t="s">
        <v>35</v>
      </c>
      <c r="H78" s="176">
        <v>14</v>
      </c>
      <c r="I78" s="176">
        <v>15</v>
      </c>
      <c r="J78" s="174"/>
      <c r="K78" s="174"/>
      <c r="L78" s="174"/>
      <c r="M78" s="174"/>
      <c r="N78" s="174"/>
      <c r="O78" s="174"/>
      <c r="P78" s="174"/>
      <c r="Q78" s="230"/>
      <c r="R78" s="230"/>
      <c r="S78" s="230"/>
      <c r="T78" s="231"/>
      <c r="U78" s="174"/>
      <c r="V78" s="174"/>
      <c r="W78" s="174"/>
      <c r="X78" s="174"/>
      <c r="Y78" s="232"/>
      <c r="Z78" s="228" t="s">
        <v>604</v>
      </c>
      <c r="AA78" s="229"/>
      <c r="AB78" s="229"/>
      <c r="AE78" s="184"/>
      <c r="AF78" s="184"/>
    </row>
    <row r="79" spans="1:32" s="1" customFormat="1" ht="19.5" customHeight="1" x14ac:dyDescent="0.3">
      <c r="A79" s="409"/>
      <c r="B79" s="396"/>
      <c r="C79" s="332"/>
      <c r="D79" s="225" t="s">
        <v>44</v>
      </c>
      <c r="E79" s="176" t="s">
        <v>297</v>
      </c>
      <c r="F79" s="174">
        <v>2</v>
      </c>
      <c r="G79" s="176" t="s">
        <v>35</v>
      </c>
      <c r="H79" s="176">
        <v>30</v>
      </c>
      <c r="I79" s="229"/>
      <c r="J79" s="174"/>
      <c r="K79" s="174"/>
      <c r="L79" s="174"/>
      <c r="M79" s="174"/>
      <c r="N79" s="174"/>
      <c r="O79" s="174"/>
      <c r="P79" s="174"/>
      <c r="Q79" s="230"/>
      <c r="R79" s="230"/>
      <c r="S79" s="230"/>
      <c r="T79" s="231"/>
      <c r="U79" s="174"/>
      <c r="V79" s="174"/>
      <c r="W79" s="174"/>
      <c r="X79" s="174"/>
      <c r="Y79" s="232"/>
      <c r="Z79" s="228" t="s">
        <v>604</v>
      </c>
      <c r="AA79" s="229"/>
      <c r="AB79" s="229"/>
      <c r="AE79" s="184"/>
      <c r="AF79" s="184"/>
    </row>
    <row r="80" spans="1:32" s="1" customFormat="1" ht="19.5" customHeight="1" x14ac:dyDescent="0.3">
      <c r="A80" s="409"/>
      <c r="B80" s="396"/>
      <c r="C80" s="332"/>
      <c r="D80" s="174" t="s">
        <v>49</v>
      </c>
      <c r="E80" s="174" t="s">
        <v>291</v>
      </c>
      <c r="F80" s="174">
        <v>2</v>
      </c>
      <c r="G80" s="174" t="s">
        <v>35</v>
      </c>
      <c r="H80" s="176">
        <v>20</v>
      </c>
      <c r="I80" s="176"/>
      <c r="J80" s="174"/>
      <c r="K80" s="174"/>
      <c r="L80" s="174"/>
      <c r="M80" s="174"/>
      <c r="N80" s="174"/>
      <c r="O80" s="174"/>
      <c r="P80" s="174"/>
      <c r="Q80" s="230"/>
      <c r="R80" s="230"/>
      <c r="S80" s="230"/>
      <c r="T80" s="231"/>
      <c r="U80" s="174"/>
      <c r="V80" s="174"/>
      <c r="W80" s="174"/>
      <c r="X80" s="174"/>
      <c r="Y80" s="232"/>
      <c r="Z80" s="228" t="s">
        <v>604</v>
      </c>
      <c r="AA80" s="229"/>
      <c r="AB80" s="229"/>
      <c r="AE80" s="184"/>
      <c r="AF80" s="184"/>
    </row>
    <row r="81" spans="1:32" s="1" customFormat="1" ht="19.5" customHeight="1" x14ac:dyDescent="0.3">
      <c r="A81" s="409"/>
      <c r="B81" s="396"/>
      <c r="C81" s="332"/>
      <c r="D81" s="174" t="s">
        <v>62</v>
      </c>
      <c r="E81" s="174" t="s">
        <v>292</v>
      </c>
      <c r="F81" s="174">
        <v>2</v>
      </c>
      <c r="G81" s="176" t="s">
        <v>35</v>
      </c>
      <c r="H81" s="176">
        <v>18</v>
      </c>
      <c r="I81" s="176"/>
      <c r="J81" s="174"/>
      <c r="K81" s="174"/>
      <c r="L81" s="174"/>
      <c r="M81" s="174"/>
      <c r="N81" s="174"/>
      <c r="O81" s="174"/>
      <c r="P81" s="174"/>
      <c r="Q81" s="230"/>
      <c r="R81" s="230"/>
      <c r="S81" s="230"/>
      <c r="T81" s="231"/>
      <c r="U81" s="174"/>
      <c r="V81" s="174"/>
      <c r="W81" s="174"/>
      <c r="X81" s="174"/>
      <c r="Y81" s="232"/>
      <c r="Z81" s="228" t="s">
        <v>604</v>
      </c>
      <c r="AA81" s="229"/>
      <c r="AB81" s="229"/>
      <c r="AE81" s="184"/>
      <c r="AF81" s="184"/>
    </row>
    <row r="82" spans="1:32" s="1" customFormat="1" ht="19.5" customHeight="1" x14ac:dyDescent="0.3">
      <c r="A82" s="409"/>
      <c r="B82" s="396"/>
      <c r="C82" s="332"/>
      <c r="D82" s="176" t="s">
        <v>210</v>
      </c>
      <c r="E82" s="176" t="s">
        <v>293</v>
      </c>
      <c r="F82" s="174">
        <v>2</v>
      </c>
      <c r="G82" s="176" t="s">
        <v>35</v>
      </c>
      <c r="H82" s="176">
        <v>15</v>
      </c>
      <c r="I82" s="176"/>
      <c r="J82" s="174"/>
      <c r="K82" s="174"/>
      <c r="L82" s="174"/>
      <c r="M82" s="174"/>
      <c r="N82" s="174"/>
      <c r="O82" s="174"/>
      <c r="P82" s="174"/>
      <c r="Q82" s="230"/>
      <c r="R82" s="230"/>
      <c r="S82" s="230"/>
      <c r="T82" s="231"/>
      <c r="U82" s="174"/>
      <c r="V82" s="174"/>
      <c r="W82" s="174"/>
      <c r="X82" s="174"/>
      <c r="Y82" s="232"/>
      <c r="Z82" s="228" t="s">
        <v>604</v>
      </c>
      <c r="AA82" s="229"/>
      <c r="AB82" s="229"/>
      <c r="AE82" s="184"/>
      <c r="AF82" s="184"/>
    </row>
    <row r="83" spans="1:32" s="1" customFormat="1" ht="19.5" customHeight="1" x14ac:dyDescent="0.3">
      <c r="A83" s="409"/>
      <c r="B83" s="396"/>
      <c r="C83" s="332"/>
      <c r="D83" s="225" t="s">
        <v>43</v>
      </c>
      <c r="E83" s="176" t="s">
        <v>322</v>
      </c>
      <c r="F83" s="174">
        <v>2</v>
      </c>
      <c r="G83" s="176" t="s">
        <v>35</v>
      </c>
      <c r="H83" s="176">
        <v>23</v>
      </c>
      <c r="I83" s="176"/>
      <c r="J83" s="174"/>
      <c r="K83" s="174"/>
      <c r="L83" s="174"/>
      <c r="M83" s="174"/>
      <c r="N83" s="174"/>
      <c r="O83" s="174"/>
      <c r="P83" s="174"/>
      <c r="Q83" s="230"/>
      <c r="R83" s="230"/>
      <c r="S83" s="230"/>
      <c r="T83" s="231"/>
      <c r="U83" s="174"/>
      <c r="V83" s="174"/>
      <c r="W83" s="174"/>
      <c r="X83" s="174"/>
      <c r="Y83" s="232"/>
      <c r="Z83" s="228" t="s">
        <v>604</v>
      </c>
      <c r="AA83" s="229"/>
      <c r="AB83" s="229"/>
      <c r="AE83" s="184"/>
      <c r="AF83" s="184"/>
    </row>
    <row r="84" spans="1:32" s="1" customFormat="1" ht="19.5" customHeight="1" x14ac:dyDescent="0.3">
      <c r="A84" s="409"/>
      <c r="B84" s="396"/>
      <c r="C84" s="332"/>
      <c r="D84" s="176" t="s">
        <v>60</v>
      </c>
      <c r="E84" s="176" t="s">
        <v>295</v>
      </c>
      <c r="F84" s="174">
        <v>2</v>
      </c>
      <c r="G84" s="174" t="s">
        <v>35</v>
      </c>
      <c r="H84" s="176">
        <v>30</v>
      </c>
      <c r="I84" s="176"/>
      <c r="J84" s="174"/>
      <c r="K84" s="174"/>
      <c r="L84" s="174"/>
      <c r="M84" s="174"/>
      <c r="N84" s="174"/>
      <c r="O84" s="174">
        <v>7</v>
      </c>
      <c r="P84" s="230"/>
      <c r="Q84" s="230"/>
      <c r="R84" s="230"/>
      <c r="S84" s="230"/>
      <c r="T84" s="231"/>
      <c r="U84" s="174"/>
      <c r="V84" s="174"/>
      <c r="W84" s="174"/>
      <c r="X84" s="174"/>
      <c r="Y84" s="232">
        <v>2</v>
      </c>
      <c r="Z84" s="228" t="s">
        <v>607</v>
      </c>
      <c r="AA84" s="229"/>
      <c r="AB84" s="229"/>
      <c r="AE84" s="184"/>
      <c r="AF84" s="184"/>
    </row>
    <row r="85" spans="1:32" s="1" customFormat="1" ht="19.5" customHeight="1" x14ac:dyDescent="0.3">
      <c r="A85" s="409"/>
      <c r="B85" s="396"/>
      <c r="C85" s="352"/>
      <c r="D85" s="353" t="s">
        <v>61</v>
      </c>
      <c r="E85" s="353" t="s">
        <v>298</v>
      </c>
      <c r="F85" s="353">
        <v>2</v>
      </c>
      <c r="G85" s="354" t="s">
        <v>35</v>
      </c>
      <c r="H85" s="354">
        <v>14</v>
      </c>
      <c r="I85" s="354"/>
      <c r="J85" s="353"/>
      <c r="K85" s="353"/>
      <c r="L85" s="353"/>
      <c r="M85" s="353"/>
      <c r="N85" s="353"/>
      <c r="O85" s="353"/>
      <c r="P85" s="230"/>
      <c r="Q85" s="230"/>
      <c r="R85" s="230"/>
      <c r="S85" s="230"/>
      <c r="T85" s="231"/>
      <c r="U85" s="353"/>
      <c r="V85" s="353"/>
      <c r="W85" s="353"/>
      <c r="X85" s="353"/>
      <c r="Y85" s="232"/>
      <c r="Z85" s="228" t="s">
        <v>607</v>
      </c>
      <c r="AA85" s="229"/>
      <c r="AB85" s="229"/>
      <c r="AE85" s="184"/>
      <c r="AF85" s="184"/>
    </row>
    <row r="86" spans="1:32" s="1" customFormat="1" ht="19.5" customHeight="1" x14ac:dyDescent="0.3">
      <c r="A86" s="409"/>
      <c r="B86" s="396"/>
      <c r="C86" s="332"/>
      <c r="D86" s="225" t="s">
        <v>44</v>
      </c>
      <c r="E86" s="176" t="s">
        <v>297</v>
      </c>
      <c r="F86" s="174">
        <v>2</v>
      </c>
      <c r="G86" s="176" t="s">
        <v>35</v>
      </c>
      <c r="H86" s="176">
        <v>30</v>
      </c>
      <c r="I86" s="229"/>
      <c r="J86" s="174">
        <v>38</v>
      </c>
      <c r="K86" s="174"/>
      <c r="L86" s="174"/>
      <c r="M86" s="174"/>
      <c r="N86" s="174"/>
      <c r="O86" s="174"/>
      <c r="P86" s="174"/>
      <c r="Q86" s="230"/>
      <c r="R86" s="230"/>
      <c r="S86" s="230"/>
      <c r="T86" s="231"/>
      <c r="U86" s="174"/>
      <c r="V86" s="174"/>
      <c r="W86" s="174"/>
      <c r="X86" s="174"/>
      <c r="Y86" s="232">
        <v>0</v>
      </c>
      <c r="Z86" s="228" t="s">
        <v>607</v>
      </c>
      <c r="AA86" s="229"/>
      <c r="AB86" s="229"/>
      <c r="AE86" s="184"/>
      <c r="AF86" s="184"/>
    </row>
    <row r="87" spans="1:32" s="1" customFormat="1" ht="19.5" customHeight="1" x14ac:dyDescent="0.3">
      <c r="A87" s="409"/>
      <c r="B87" s="396"/>
      <c r="C87" s="332"/>
      <c r="D87" s="174" t="s">
        <v>49</v>
      </c>
      <c r="E87" s="174" t="s">
        <v>291</v>
      </c>
      <c r="F87" s="174">
        <v>2</v>
      </c>
      <c r="G87" s="174" t="s">
        <v>35</v>
      </c>
      <c r="H87" s="176">
        <v>27</v>
      </c>
      <c r="I87" s="176"/>
      <c r="J87" s="174">
        <v>38</v>
      </c>
      <c r="K87" s="174"/>
      <c r="L87" s="174"/>
      <c r="M87" s="174"/>
      <c r="N87" s="174"/>
      <c r="O87" s="174">
        <v>7</v>
      </c>
      <c r="P87" s="174"/>
      <c r="Q87" s="230"/>
      <c r="R87" s="230"/>
      <c r="S87" s="230"/>
      <c r="T87" s="231"/>
      <c r="U87" s="174"/>
      <c r="V87" s="174"/>
      <c r="W87" s="174"/>
      <c r="X87" s="174"/>
      <c r="Y87" s="232">
        <v>1.5</v>
      </c>
      <c r="Z87" s="228" t="s">
        <v>604</v>
      </c>
      <c r="AA87" s="229"/>
      <c r="AB87" s="229"/>
      <c r="AE87" s="184"/>
      <c r="AF87" s="184"/>
    </row>
    <row r="88" spans="1:32" s="1" customFormat="1" ht="19.5" customHeight="1" x14ac:dyDescent="0.3">
      <c r="A88" s="409"/>
      <c r="B88" s="396"/>
      <c r="C88" s="332"/>
      <c r="D88" s="174" t="s">
        <v>62</v>
      </c>
      <c r="E88" s="174" t="s">
        <v>292</v>
      </c>
      <c r="F88" s="174">
        <v>2</v>
      </c>
      <c r="G88" s="176" t="s">
        <v>35</v>
      </c>
      <c r="H88" s="176">
        <v>18</v>
      </c>
      <c r="I88" s="176"/>
      <c r="J88" s="174"/>
      <c r="K88" s="174"/>
      <c r="L88" s="174"/>
      <c r="M88" s="174"/>
      <c r="N88" s="174"/>
      <c r="O88" s="174"/>
      <c r="P88" s="174"/>
      <c r="Q88" s="230"/>
      <c r="R88" s="230"/>
      <c r="S88" s="230"/>
      <c r="T88" s="231"/>
      <c r="U88" s="174"/>
      <c r="V88" s="174"/>
      <c r="W88" s="174"/>
      <c r="X88" s="174"/>
      <c r="Y88" s="232"/>
      <c r="Z88" s="228" t="s">
        <v>604</v>
      </c>
      <c r="AA88" s="229"/>
      <c r="AB88" s="229"/>
      <c r="AE88" s="184"/>
      <c r="AF88" s="184"/>
    </row>
    <row r="89" spans="1:32" s="1" customFormat="1" ht="19.5" customHeight="1" x14ac:dyDescent="0.3">
      <c r="A89" s="409"/>
      <c r="B89" s="396"/>
      <c r="C89" s="332"/>
      <c r="D89" s="176" t="s">
        <v>210</v>
      </c>
      <c r="E89" s="176" t="s">
        <v>293</v>
      </c>
      <c r="F89" s="174">
        <v>2</v>
      </c>
      <c r="G89" s="176" t="s">
        <v>35</v>
      </c>
      <c r="H89" s="176">
        <v>15</v>
      </c>
      <c r="I89" s="176"/>
      <c r="J89" s="174">
        <v>38</v>
      </c>
      <c r="K89" s="174"/>
      <c r="L89" s="174"/>
      <c r="M89" s="174"/>
      <c r="N89" s="174"/>
      <c r="O89" s="174">
        <v>7</v>
      </c>
      <c r="P89" s="230"/>
      <c r="Q89" s="230"/>
      <c r="R89" s="230"/>
      <c r="S89" s="230"/>
      <c r="T89" s="231"/>
      <c r="U89" s="174"/>
      <c r="V89" s="174"/>
      <c r="W89" s="174"/>
      <c r="X89" s="174"/>
      <c r="Y89" s="232">
        <v>1.5</v>
      </c>
      <c r="Z89" s="228" t="s">
        <v>604</v>
      </c>
      <c r="AA89" s="229"/>
      <c r="AB89" s="229"/>
      <c r="AE89" s="184"/>
      <c r="AF89" s="184"/>
    </row>
    <row r="90" spans="1:32" s="1" customFormat="1" ht="21" customHeight="1" x14ac:dyDescent="0.3">
      <c r="A90" s="409"/>
      <c r="B90" s="396"/>
      <c r="C90" s="332"/>
      <c r="D90" s="225" t="s">
        <v>43</v>
      </c>
      <c r="E90" s="176" t="s">
        <v>322</v>
      </c>
      <c r="F90" s="174">
        <v>2</v>
      </c>
      <c r="G90" s="176" t="s">
        <v>35</v>
      </c>
      <c r="H90" s="176">
        <v>23</v>
      </c>
      <c r="I90" s="176"/>
      <c r="J90" s="174"/>
      <c r="K90" s="174"/>
      <c r="L90" s="174"/>
      <c r="M90" s="174"/>
      <c r="N90" s="174"/>
      <c r="O90" s="174"/>
      <c r="P90" s="174"/>
      <c r="Q90" s="230"/>
      <c r="R90" s="230"/>
      <c r="S90" s="230"/>
      <c r="T90" s="231"/>
      <c r="U90" s="174"/>
      <c r="V90" s="174"/>
      <c r="W90" s="174"/>
      <c r="X90" s="174"/>
      <c r="Y90" s="232"/>
      <c r="Z90" s="228" t="s">
        <v>604</v>
      </c>
      <c r="AA90" s="229"/>
      <c r="AB90" s="229"/>
      <c r="AE90" s="184"/>
      <c r="AF90" s="184"/>
    </row>
    <row r="91" spans="1:32" s="1" customFormat="1" ht="19.5" customHeight="1" x14ac:dyDescent="0.3">
      <c r="A91" s="409"/>
      <c r="B91" s="396"/>
      <c r="C91" s="332"/>
      <c r="D91" s="176" t="s">
        <v>60</v>
      </c>
      <c r="E91" s="176" t="s">
        <v>295</v>
      </c>
      <c r="F91" s="174">
        <v>2</v>
      </c>
      <c r="G91" s="174" t="s">
        <v>35</v>
      </c>
      <c r="H91" s="176">
        <v>30</v>
      </c>
      <c r="I91" s="176"/>
      <c r="J91" s="174">
        <v>38</v>
      </c>
      <c r="K91" s="174"/>
      <c r="L91" s="174"/>
      <c r="M91" s="174"/>
      <c r="N91" s="174"/>
      <c r="O91" s="174">
        <v>7</v>
      </c>
      <c r="P91" s="230"/>
      <c r="Q91" s="230"/>
      <c r="R91" s="230"/>
      <c r="S91" s="230"/>
      <c r="T91" s="231"/>
      <c r="U91" s="174"/>
      <c r="V91" s="174"/>
      <c r="W91" s="174"/>
      <c r="X91" s="174"/>
      <c r="Y91" s="232">
        <v>1.5</v>
      </c>
      <c r="Z91" s="228" t="s">
        <v>607</v>
      </c>
      <c r="AA91" s="229"/>
      <c r="AB91" s="229"/>
      <c r="AE91" s="184"/>
      <c r="AF91" s="184"/>
    </row>
    <row r="92" spans="1:32" s="1" customFormat="1" ht="19.5" customHeight="1" x14ac:dyDescent="0.3">
      <c r="A92" s="409"/>
      <c r="B92" s="396"/>
      <c r="C92" s="332"/>
      <c r="D92" s="225" t="s">
        <v>114</v>
      </c>
      <c r="E92" s="174" t="s">
        <v>296</v>
      </c>
      <c r="F92" s="174">
        <v>2</v>
      </c>
      <c r="G92" s="176" t="s">
        <v>35</v>
      </c>
      <c r="H92" s="176">
        <v>30</v>
      </c>
      <c r="I92" s="176">
        <v>15</v>
      </c>
      <c r="J92" s="174"/>
      <c r="K92" s="174"/>
      <c r="L92" s="174"/>
      <c r="M92" s="174"/>
      <c r="N92" s="174"/>
      <c r="O92" s="174"/>
      <c r="P92" s="230"/>
      <c r="Q92" s="230"/>
      <c r="R92" s="230"/>
      <c r="S92" s="230"/>
      <c r="T92" s="231"/>
      <c r="U92" s="174"/>
      <c r="V92" s="174"/>
      <c r="W92" s="174"/>
      <c r="X92" s="174"/>
      <c r="Y92" s="232"/>
      <c r="Z92" s="228" t="s">
        <v>604</v>
      </c>
      <c r="AA92" s="229"/>
      <c r="AB92" s="229"/>
      <c r="AE92" s="184"/>
      <c r="AF92" s="184"/>
    </row>
    <row r="93" spans="1:32" s="1" customFormat="1" ht="19.5" customHeight="1" x14ac:dyDescent="0.3">
      <c r="A93" s="409"/>
      <c r="B93" s="396"/>
      <c r="C93" s="332"/>
      <c r="D93" s="225" t="s">
        <v>46</v>
      </c>
      <c r="E93" s="176" t="s">
        <v>301</v>
      </c>
      <c r="F93" s="174">
        <v>2</v>
      </c>
      <c r="G93" s="176" t="s">
        <v>35</v>
      </c>
      <c r="H93" s="176">
        <v>30</v>
      </c>
      <c r="I93" s="176"/>
      <c r="J93" s="174"/>
      <c r="K93" s="174"/>
      <c r="L93" s="174"/>
      <c r="M93" s="174"/>
      <c r="N93" s="174"/>
      <c r="O93" s="174"/>
      <c r="P93" s="230"/>
      <c r="Q93" s="230"/>
      <c r="R93" s="230"/>
      <c r="S93" s="230"/>
      <c r="T93" s="231"/>
      <c r="U93" s="174"/>
      <c r="V93" s="174"/>
      <c r="W93" s="174"/>
      <c r="X93" s="174"/>
      <c r="Y93" s="232"/>
      <c r="Z93" s="228" t="s">
        <v>604</v>
      </c>
      <c r="AA93" s="229"/>
      <c r="AB93" s="229"/>
      <c r="AE93" s="184"/>
      <c r="AF93" s="184"/>
    </row>
    <row r="94" spans="1:32" s="1" customFormat="1" ht="19.5" customHeight="1" x14ac:dyDescent="0.3">
      <c r="A94" s="409"/>
      <c r="B94" s="396"/>
      <c r="C94" s="332"/>
      <c r="D94" s="176" t="s">
        <v>81</v>
      </c>
      <c r="E94" s="176" t="s">
        <v>304</v>
      </c>
      <c r="F94" s="174">
        <v>2</v>
      </c>
      <c r="G94" s="176" t="s">
        <v>35</v>
      </c>
      <c r="H94" s="176">
        <v>30</v>
      </c>
      <c r="I94" s="176"/>
      <c r="J94" s="174"/>
      <c r="K94" s="174"/>
      <c r="L94" s="174"/>
      <c r="M94" s="174"/>
      <c r="N94" s="174"/>
      <c r="O94" s="174"/>
      <c r="P94" s="230"/>
      <c r="Q94" s="230"/>
      <c r="R94" s="230"/>
      <c r="S94" s="230"/>
      <c r="T94" s="231"/>
      <c r="U94" s="174"/>
      <c r="V94" s="174"/>
      <c r="W94" s="174"/>
      <c r="X94" s="174"/>
      <c r="Y94" s="232"/>
      <c r="Z94" s="228" t="s">
        <v>604</v>
      </c>
      <c r="AA94" s="229"/>
      <c r="AB94" s="229"/>
      <c r="AE94" s="184"/>
      <c r="AF94" s="184"/>
    </row>
    <row r="95" spans="1:32" s="1" customFormat="1" ht="19.5" customHeight="1" x14ac:dyDescent="0.3">
      <c r="A95" s="409"/>
      <c r="B95" s="396"/>
      <c r="C95" s="332"/>
      <c r="D95" s="176" t="s">
        <v>81</v>
      </c>
      <c r="E95" s="176" t="s">
        <v>527</v>
      </c>
      <c r="F95" s="174">
        <v>2</v>
      </c>
      <c r="G95" s="176" t="s">
        <v>35</v>
      </c>
      <c r="H95" s="176">
        <v>30</v>
      </c>
      <c r="I95" s="176"/>
      <c r="J95" s="174"/>
      <c r="K95" s="174"/>
      <c r="L95" s="174"/>
      <c r="M95" s="174"/>
      <c r="N95" s="174"/>
      <c r="O95" s="174"/>
      <c r="P95" s="230"/>
      <c r="Q95" s="230"/>
      <c r="R95" s="230"/>
      <c r="S95" s="230"/>
      <c r="T95" s="231"/>
      <c r="U95" s="174"/>
      <c r="V95" s="174"/>
      <c r="W95" s="174"/>
      <c r="X95" s="174"/>
      <c r="Y95" s="232"/>
      <c r="Z95" s="228" t="s">
        <v>604</v>
      </c>
      <c r="AA95" s="229"/>
      <c r="AB95" s="229"/>
      <c r="AE95" s="184"/>
      <c r="AF95" s="184"/>
    </row>
    <row r="96" spans="1:32" s="1" customFormat="1" ht="19.5" customHeight="1" x14ac:dyDescent="0.3">
      <c r="A96" s="409"/>
      <c r="B96" s="396"/>
      <c r="C96" s="332"/>
      <c r="D96" s="176" t="s">
        <v>81</v>
      </c>
      <c r="E96" s="176" t="s">
        <v>528</v>
      </c>
      <c r="F96" s="174">
        <v>2</v>
      </c>
      <c r="G96" s="176" t="s">
        <v>35</v>
      </c>
      <c r="H96" s="176">
        <v>30</v>
      </c>
      <c r="I96" s="176"/>
      <c r="J96" s="174"/>
      <c r="K96" s="174"/>
      <c r="L96" s="174"/>
      <c r="M96" s="174"/>
      <c r="N96" s="174"/>
      <c r="O96" s="174"/>
      <c r="P96" s="230"/>
      <c r="Q96" s="230"/>
      <c r="R96" s="230"/>
      <c r="S96" s="230"/>
      <c r="T96" s="231"/>
      <c r="U96" s="174"/>
      <c r="V96" s="174"/>
      <c r="W96" s="174"/>
      <c r="X96" s="174"/>
      <c r="Y96" s="232"/>
      <c r="Z96" s="228" t="s">
        <v>604</v>
      </c>
      <c r="AA96" s="229"/>
      <c r="AB96" s="229"/>
      <c r="AE96" s="184"/>
      <c r="AF96" s="184"/>
    </row>
    <row r="97" spans="1:32" s="1" customFormat="1" ht="19.5" customHeight="1" x14ac:dyDescent="0.3">
      <c r="A97" s="409"/>
      <c r="B97" s="396"/>
      <c r="C97" s="332"/>
      <c r="D97" s="225" t="s">
        <v>114</v>
      </c>
      <c r="E97" s="174" t="s">
        <v>296</v>
      </c>
      <c r="F97" s="174">
        <v>2</v>
      </c>
      <c r="G97" s="176" t="s">
        <v>35</v>
      </c>
      <c r="H97" s="176">
        <v>30</v>
      </c>
      <c r="I97" s="176"/>
      <c r="J97" s="174">
        <v>38</v>
      </c>
      <c r="K97" s="174"/>
      <c r="L97" s="174"/>
      <c r="M97" s="174"/>
      <c r="N97" s="174"/>
      <c r="O97" s="174">
        <v>7</v>
      </c>
      <c r="P97" s="230"/>
      <c r="Q97" s="230"/>
      <c r="R97" s="230"/>
      <c r="S97" s="230"/>
      <c r="T97" s="231"/>
      <c r="U97" s="174"/>
      <c r="V97" s="174"/>
      <c r="W97" s="174"/>
      <c r="X97" s="174"/>
      <c r="Y97" s="232">
        <v>2</v>
      </c>
      <c r="Z97" s="228" t="s">
        <v>607</v>
      </c>
      <c r="AA97" s="229"/>
      <c r="AB97" s="229"/>
      <c r="AE97" s="184"/>
      <c r="AF97" s="184"/>
    </row>
    <row r="98" spans="1:32" s="1" customFormat="1" ht="19.5" customHeight="1" x14ac:dyDescent="0.3">
      <c r="A98" s="409"/>
      <c r="B98" s="396"/>
      <c r="C98" s="332"/>
      <c r="D98" s="225" t="s">
        <v>46</v>
      </c>
      <c r="E98" s="176" t="s">
        <v>301</v>
      </c>
      <c r="F98" s="174">
        <v>2</v>
      </c>
      <c r="G98" s="176" t="s">
        <v>35</v>
      </c>
      <c r="H98" s="176">
        <v>30</v>
      </c>
      <c r="I98" s="176"/>
      <c r="J98" s="174">
        <v>38</v>
      </c>
      <c r="K98" s="174"/>
      <c r="L98" s="174"/>
      <c r="M98" s="174"/>
      <c r="N98" s="174"/>
      <c r="O98" s="174">
        <v>7</v>
      </c>
      <c r="P98" s="230"/>
      <c r="Q98" s="230"/>
      <c r="R98" s="230"/>
      <c r="S98" s="230"/>
      <c r="T98" s="231"/>
      <c r="U98" s="174"/>
      <c r="V98" s="174"/>
      <c r="W98" s="174"/>
      <c r="X98" s="174"/>
      <c r="Y98" s="232">
        <v>1.5</v>
      </c>
      <c r="Z98" s="228" t="s">
        <v>607</v>
      </c>
      <c r="AA98" s="229"/>
      <c r="AB98" s="229"/>
      <c r="AE98" s="184"/>
      <c r="AF98" s="184"/>
    </row>
    <row r="99" spans="1:32" s="1" customFormat="1" ht="19.5" customHeight="1" x14ac:dyDescent="0.3">
      <c r="A99" s="409"/>
      <c r="B99" s="396"/>
      <c r="C99" s="332"/>
      <c r="D99" s="176" t="s">
        <v>81</v>
      </c>
      <c r="E99" s="176" t="s">
        <v>304</v>
      </c>
      <c r="F99" s="174">
        <v>2</v>
      </c>
      <c r="G99" s="176" t="s">
        <v>35</v>
      </c>
      <c r="H99" s="176">
        <v>30</v>
      </c>
      <c r="I99" s="176"/>
      <c r="J99" s="174">
        <v>38</v>
      </c>
      <c r="K99" s="174"/>
      <c r="L99" s="174"/>
      <c r="M99" s="174"/>
      <c r="N99" s="174"/>
      <c r="O99" s="174">
        <v>7</v>
      </c>
      <c r="P99" s="230"/>
      <c r="Q99" s="230"/>
      <c r="R99" s="230"/>
      <c r="S99" s="230"/>
      <c r="T99" s="231"/>
      <c r="U99" s="174"/>
      <c r="V99" s="174"/>
      <c r="W99" s="174"/>
      <c r="X99" s="174"/>
      <c r="Y99" s="232">
        <v>1.5</v>
      </c>
      <c r="Z99" s="228" t="s">
        <v>607</v>
      </c>
      <c r="AA99" s="229"/>
      <c r="AB99" s="229"/>
      <c r="AE99" s="184"/>
      <c r="AF99" s="184"/>
    </row>
    <row r="100" spans="1:32" s="1" customFormat="1" ht="19.5" customHeight="1" x14ac:dyDescent="0.3">
      <c r="A100" s="409"/>
      <c r="B100" s="396"/>
      <c r="C100" s="332"/>
      <c r="D100" s="176" t="s">
        <v>81</v>
      </c>
      <c r="E100" s="176" t="s">
        <v>527</v>
      </c>
      <c r="F100" s="174">
        <v>2</v>
      </c>
      <c r="G100" s="176" t="s">
        <v>35</v>
      </c>
      <c r="H100" s="176">
        <v>30</v>
      </c>
      <c r="I100" s="176"/>
      <c r="J100" s="174">
        <v>38</v>
      </c>
      <c r="K100" s="174"/>
      <c r="L100" s="174"/>
      <c r="M100" s="174"/>
      <c r="N100" s="174"/>
      <c r="O100" s="174">
        <v>7</v>
      </c>
      <c r="P100" s="230"/>
      <c r="Q100" s="230"/>
      <c r="R100" s="230"/>
      <c r="S100" s="230"/>
      <c r="T100" s="231"/>
      <c r="U100" s="174"/>
      <c r="V100" s="174"/>
      <c r="W100" s="174"/>
      <c r="X100" s="174"/>
      <c r="Y100" s="232">
        <v>1.5</v>
      </c>
      <c r="Z100" s="228" t="s">
        <v>607</v>
      </c>
      <c r="AA100" s="229"/>
      <c r="AB100" s="229"/>
      <c r="AE100" s="184"/>
      <c r="AF100" s="184"/>
    </row>
    <row r="101" spans="1:32" s="1" customFormat="1" ht="19.5" customHeight="1" x14ac:dyDescent="0.3">
      <c r="A101" s="409"/>
      <c r="B101" s="396"/>
      <c r="C101" s="332"/>
      <c r="D101" s="176" t="s">
        <v>81</v>
      </c>
      <c r="E101" s="176" t="s">
        <v>528</v>
      </c>
      <c r="F101" s="174">
        <v>2</v>
      </c>
      <c r="G101" s="176" t="s">
        <v>35</v>
      </c>
      <c r="H101" s="176">
        <v>30</v>
      </c>
      <c r="I101" s="176"/>
      <c r="J101" s="174">
        <v>38</v>
      </c>
      <c r="K101" s="174"/>
      <c r="L101" s="174"/>
      <c r="M101" s="174"/>
      <c r="N101" s="174"/>
      <c r="O101" s="174">
        <v>7</v>
      </c>
      <c r="P101" s="230"/>
      <c r="Q101" s="230"/>
      <c r="R101" s="230"/>
      <c r="S101" s="230"/>
      <c r="T101" s="231"/>
      <c r="U101" s="174"/>
      <c r="V101" s="174"/>
      <c r="W101" s="174"/>
      <c r="X101" s="174"/>
      <c r="Y101" s="232">
        <v>1.5</v>
      </c>
      <c r="Z101" s="228" t="s">
        <v>607</v>
      </c>
      <c r="AA101" s="229"/>
      <c r="AB101" s="229"/>
      <c r="AE101" s="184"/>
      <c r="AF101" s="184"/>
    </row>
    <row r="102" spans="1:32" s="1" customFormat="1" ht="19.5" customHeight="1" x14ac:dyDescent="0.3">
      <c r="A102" s="409"/>
      <c r="B102" s="396"/>
      <c r="C102" s="332"/>
      <c r="D102" s="225" t="s">
        <v>41</v>
      </c>
      <c r="E102" s="174" t="s">
        <v>318</v>
      </c>
      <c r="F102" s="174">
        <v>2</v>
      </c>
      <c r="G102" s="174" t="s">
        <v>35</v>
      </c>
      <c r="H102" s="176">
        <v>7</v>
      </c>
      <c r="I102" s="176">
        <v>15</v>
      </c>
      <c r="J102" s="174"/>
      <c r="K102" s="174"/>
      <c r="L102" s="174"/>
      <c r="M102" s="174"/>
      <c r="N102" s="174"/>
      <c r="O102" s="174"/>
      <c r="P102" s="230"/>
      <c r="Q102" s="230"/>
      <c r="R102" s="230"/>
      <c r="S102" s="230"/>
      <c r="T102" s="231"/>
      <c r="U102" s="174"/>
      <c r="V102" s="174"/>
      <c r="W102" s="174"/>
      <c r="X102" s="174"/>
      <c r="Y102" s="232"/>
      <c r="Z102" s="228" t="s">
        <v>604</v>
      </c>
      <c r="AA102" s="229"/>
      <c r="AB102" s="229"/>
      <c r="AE102" s="184"/>
      <c r="AF102" s="184"/>
    </row>
    <row r="103" spans="1:32" s="1" customFormat="1" ht="19.5" customHeight="1" x14ac:dyDescent="0.3">
      <c r="A103" s="409"/>
      <c r="B103" s="396"/>
      <c r="C103" s="332"/>
      <c r="D103" s="174" t="s">
        <v>51</v>
      </c>
      <c r="E103" s="174" t="s">
        <v>299</v>
      </c>
      <c r="F103" s="174">
        <v>2</v>
      </c>
      <c r="G103" s="176" t="s">
        <v>35</v>
      </c>
      <c r="H103" s="176">
        <v>26</v>
      </c>
      <c r="I103" s="176"/>
      <c r="J103" s="174"/>
      <c r="K103" s="174"/>
      <c r="L103" s="174"/>
      <c r="M103" s="174"/>
      <c r="N103" s="174"/>
      <c r="O103" s="174"/>
      <c r="P103" s="230"/>
      <c r="Q103" s="230"/>
      <c r="R103" s="230"/>
      <c r="S103" s="230"/>
      <c r="T103" s="231"/>
      <c r="U103" s="174"/>
      <c r="V103" s="174"/>
      <c r="W103" s="174"/>
      <c r="X103" s="174"/>
      <c r="Y103" s="232"/>
      <c r="Z103" s="228" t="s">
        <v>604</v>
      </c>
      <c r="AA103" s="229"/>
      <c r="AB103" s="229"/>
      <c r="AE103" s="184"/>
      <c r="AF103" s="184"/>
    </row>
    <row r="104" spans="1:32" s="1" customFormat="1" ht="19.5" customHeight="1" x14ac:dyDescent="0.3">
      <c r="A104" s="409"/>
      <c r="B104" s="396"/>
      <c r="C104" s="332"/>
      <c r="D104" s="225" t="s">
        <v>52</v>
      </c>
      <c r="E104" s="176" t="s">
        <v>300</v>
      </c>
      <c r="F104" s="174">
        <v>2</v>
      </c>
      <c r="G104" s="176" t="s">
        <v>35</v>
      </c>
      <c r="H104" s="176">
        <v>30</v>
      </c>
      <c r="I104" s="176"/>
      <c r="J104" s="174"/>
      <c r="K104" s="174"/>
      <c r="L104" s="174"/>
      <c r="M104" s="174"/>
      <c r="N104" s="174"/>
      <c r="O104" s="174"/>
      <c r="P104" s="230"/>
      <c r="Q104" s="230"/>
      <c r="R104" s="230"/>
      <c r="S104" s="230"/>
      <c r="T104" s="231"/>
      <c r="U104" s="174"/>
      <c r="V104" s="174"/>
      <c r="W104" s="174"/>
      <c r="X104" s="174"/>
      <c r="Y104" s="232"/>
      <c r="Z104" s="228" t="s">
        <v>604</v>
      </c>
      <c r="AA104" s="229"/>
      <c r="AB104" s="229"/>
      <c r="AE104" s="184"/>
      <c r="AF104" s="184"/>
    </row>
    <row r="105" spans="1:32" s="1" customFormat="1" ht="19.5" customHeight="1" x14ac:dyDescent="0.3">
      <c r="A105" s="409"/>
      <c r="B105" s="396"/>
      <c r="C105" s="332"/>
      <c r="D105" s="225" t="s">
        <v>52</v>
      </c>
      <c r="E105" s="176" t="s">
        <v>319</v>
      </c>
      <c r="F105" s="174">
        <v>2</v>
      </c>
      <c r="G105" s="176" t="s">
        <v>35</v>
      </c>
      <c r="H105" s="176">
        <v>29</v>
      </c>
      <c r="I105" s="176"/>
      <c r="J105" s="174"/>
      <c r="K105" s="174"/>
      <c r="L105" s="174"/>
      <c r="M105" s="174"/>
      <c r="N105" s="174"/>
      <c r="O105" s="174"/>
      <c r="P105" s="230"/>
      <c r="Q105" s="230"/>
      <c r="R105" s="230"/>
      <c r="S105" s="230"/>
      <c r="T105" s="231"/>
      <c r="U105" s="174"/>
      <c r="V105" s="174"/>
      <c r="W105" s="174"/>
      <c r="X105" s="174"/>
      <c r="Y105" s="232"/>
      <c r="Z105" s="228" t="s">
        <v>604</v>
      </c>
      <c r="AA105" s="229"/>
      <c r="AB105" s="229"/>
      <c r="AE105" s="184"/>
      <c r="AF105" s="184"/>
    </row>
    <row r="106" spans="1:32" s="1" customFormat="1" ht="19.5" customHeight="1" x14ac:dyDescent="0.3">
      <c r="A106" s="409"/>
      <c r="B106" s="396"/>
      <c r="C106" s="332"/>
      <c r="D106" s="225" t="s">
        <v>52</v>
      </c>
      <c r="E106" s="176" t="s">
        <v>302</v>
      </c>
      <c r="F106" s="174">
        <v>2</v>
      </c>
      <c r="G106" s="176" t="s">
        <v>35</v>
      </c>
      <c r="H106" s="176">
        <v>29</v>
      </c>
      <c r="I106" s="176"/>
      <c r="J106" s="174"/>
      <c r="K106" s="174"/>
      <c r="L106" s="174"/>
      <c r="M106" s="174"/>
      <c r="N106" s="174"/>
      <c r="O106" s="174"/>
      <c r="P106" s="230"/>
      <c r="Q106" s="230"/>
      <c r="R106" s="230"/>
      <c r="S106" s="230"/>
      <c r="T106" s="231"/>
      <c r="U106" s="174"/>
      <c r="V106" s="174"/>
      <c r="W106" s="174"/>
      <c r="X106" s="174"/>
      <c r="Y106" s="232"/>
      <c r="Z106" s="228" t="s">
        <v>604</v>
      </c>
      <c r="AA106" s="229"/>
      <c r="AB106" s="229"/>
      <c r="AE106" s="184"/>
      <c r="AF106" s="184"/>
    </row>
    <row r="107" spans="1:32" s="1" customFormat="1" ht="19.5" customHeight="1" x14ac:dyDescent="0.3">
      <c r="A107" s="409"/>
      <c r="B107" s="396"/>
      <c r="C107" s="332"/>
      <c r="D107" s="225" t="s">
        <v>52</v>
      </c>
      <c r="E107" s="176" t="s">
        <v>320</v>
      </c>
      <c r="F107" s="174">
        <v>2</v>
      </c>
      <c r="G107" s="176" t="s">
        <v>35</v>
      </c>
      <c r="H107" s="176">
        <v>29</v>
      </c>
      <c r="I107" s="176"/>
      <c r="J107" s="174"/>
      <c r="K107" s="174"/>
      <c r="L107" s="174"/>
      <c r="M107" s="174"/>
      <c r="N107" s="174"/>
      <c r="O107" s="174"/>
      <c r="P107" s="230"/>
      <c r="Q107" s="230"/>
      <c r="R107" s="230"/>
      <c r="S107" s="230"/>
      <c r="T107" s="231"/>
      <c r="U107" s="174"/>
      <c r="V107" s="174"/>
      <c r="W107" s="174"/>
      <c r="X107" s="174"/>
      <c r="Y107" s="232"/>
      <c r="Z107" s="228" t="s">
        <v>604</v>
      </c>
      <c r="AA107" s="229"/>
      <c r="AB107" s="229"/>
      <c r="AE107" s="184"/>
      <c r="AF107" s="184"/>
    </row>
    <row r="108" spans="1:32" s="1" customFormat="1" ht="19.5" customHeight="1" x14ac:dyDescent="0.3">
      <c r="A108" s="409"/>
      <c r="B108" s="396"/>
      <c r="C108" s="332"/>
      <c r="D108" s="225" t="s">
        <v>41</v>
      </c>
      <c r="E108" s="174" t="s">
        <v>318</v>
      </c>
      <c r="F108" s="174">
        <v>2</v>
      </c>
      <c r="G108" s="174" t="s">
        <v>35</v>
      </c>
      <c r="H108" s="176">
        <v>7</v>
      </c>
      <c r="I108" s="176"/>
      <c r="J108" s="174">
        <v>38</v>
      </c>
      <c r="K108" s="174"/>
      <c r="L108" s="174"/>
      <c r="M108" s="174"/>
      <c r="N108" s="174"/>
      <c r="O108" s="174">
        <v>7</v>
      </c>
      <c r="P108" s="174"/>
      <c r="Q108" s="230"/>
      <c r="R108" s="230"/>
      <c r="S108" s="230"/>
      <c r="T108" s="231"/>
      <c r="U108" s="174"/>
      <c r="V108" s="174"/>
      <c r="W108" s="174"/>
      <c r="X108" s="174"/>
      <c r="Y108" s="232">
        <v>2</v>
      </c>
      <c r="Z108" s="228" t="s">
        <v>607</v>
      </c>
      <c r="AA108" s="229"/>
      <c r="AB108" s="229"/>
      <c r="AE108" s="184"/>
      <c r="AF108" s="184"/>
    </row>
    <row r="109" spans="1:32" s="1" customFormat="1" ht="19.5" customHeight="1" x14ac:dyDescent="0.3">
      <c r="A109" s="409"/>
      <c r="B109" s="396"/>
      <c r="C109" s="332"/>
      <c r="D109" s="174" t="s">
        <v>51</v>
      </c>
      <c r="E109" s="174" t="s">
        <v>299</v>
      </c>
      <c r="F109" s="174">
        <v>2</v>
      </c>
      <c r="G109" s="176" t="s">
        <v>35</v>
      </c>
      <c r="H109" s="176">
        <v>26</v>
      </c>
      <c r="I109" s="176"/>
      <c r="J109" s="174"/>
      <c r="K109" s="174"/>
      <c r="L109" s="174"/>
      <c r="M109" s="174"/>
      <c r="N109" s="174"/>
      <c r="O109" s="174"/>
      <c r="P109" s="174"/>
      <c r="Q109" s="230"/>
      <c r="R109" s="230"/>
      <c r="S109" s="230"/>
      <c r="T109" s="231"/>
      <c r="U109" s="174"/>
      <c r="V109" s="174"/>
      <c r="W109" s="174"/>
      <c r="X109" s="174"/>
      <c r="Y109" s="232"/>
      <c r="Z109" s="228" t="s">
        <v>607</v>
      </c>
      <c r="AA109" s="229"/>
      <c r="AB109" s="229"/>
      <c r="AE109" s="184"/>
      <c r="AF109" s="184"/>
    </row>
    <row r="110" spans="1:32" s="1" customFormat="1" ht="19.5" customHeight="1" x14ac:dyDescent="0.3">
      <c r="A110" s="409"/>
      <c r="B110" s="396"/>
      <c r="C110" s="332"/>
      <c r="D110" s="225" t="s">
        <v>52</v>
      </c>
      <c r="E110" s="176" t="s">
        <v>300</v>
      </c>
      <c r="F110" s="174">
        <v>2</v>
      </c>
      <c r="G110" s="176" t="s">
        <v>35</v>
      </c>
      <c r="H110" s="176">
        <v>30</v>
      </c>
      <c r="I110" s="176"/>
      <c r="J110" s="174">
        <v>38</v>
      </c>
      <c r="K110" s="174"/>
      <c r="L110" s="174"/>
      <c r="M110" s="174"/>
      <c r="N110" s="174"/>
      <c r="O110" s="174">
        <v>7</v>
      </c>
      <c r="P110" s="174"/>
      <c r="Q110" s="230"/>
      <c r="R110" s="230"/>
      <c r="S110" s="230"/>
      <c r="T110" s="231"/>
      <c r="U110" s="174"/>
      <c r="V110" s="174"/>
      <c r="W110" s="174"/>
      <c r="X110" s="174"/>
      <c r="Y110" s="232">
        <v>1.5</v>
      </c>
      <c r="Z110" s="228" t="s">
        <v>605</v>
      </c>
      <c r="AA110" s="229"/>
      <c r="AB110" s="229"/>
      <c r="AE110" s="184"/>
      <c r="AF110" s="184"/>
    </row>
    <row r="111" spans="1:32" s="1" customFormat="1" ht="19.5" customHeight="1" x14ac:dyDescent="0.3">
      <c r="A111" s="409"/>
      <c r="B111" s="396"/>
      <c r="C111" s="332"/>
      <c r="D111" s="225" t="s">
        <v>52</v>
      </c>
      <c r="E111" s="176" t="s">
        <v>319</v>
      </c>
      <c r="F111" s="174">
        <v>2</v>
      </c>
      <c r="G111" s="176" t="s">
        <v>35</v>
      </c>
      <c r="H111" s="176">
        <v>30</v>
      </c>
      <c r="I111" s="176"/>
      <c r="J111" s="174">
        <v>38</v>
      </c>
      <c r="K111" s="174"/>
      <c r="L111" s="174"/>
      <c r="M111" s="174"/>
      <c r="N111" s="174"/>
      <c r="O111" s="174">
        <v>7</v>
      </c>
      <c r="P111" s="230"/>
      <c r="Q111" s="230"/>
      <c r="R111" s="230"/>
      <c r="S111" s="230"/>
      <c r="T111" s="231"/>
      <c r="U111" s="174"/>
      <c r="V111" s="174"/>
      <c r="W111" s="174"/>
      <c r="X111" s="174"/>
      <c r="Y111" s="232">
        <v>1.5</v>
      </c>
      <c r="Z111" s="228" t="s">
        <v>605</v>
      </c>
      <c r="AA111" s="229"/>
      <c r="AB111" s="229"/>
      <c r="AE111" s="184"/>
      <c r="AF111" s="184"/>
    </row>
    <row r="112" spans="1:32" s="1" customFormat="1" ht="19.5" customHeight="1" x14ac:dyDescent="0.3">
      <c r="A112" s="409"/>
      <c r="B112" s="396"/>
      <c r="C112" s="332"/>
      <c r="D112" s="225" t="s">
        <v>52</v>
      </c>
      <c r="E112" s="176" t="s">
        <v>302</v>
      </c>
      <c r="F112" s="174">
        <v>2</v>
      </c>
      <c r="G112" s="176" t="s">
        <v>35</v>
      </c>
      <c r="H112" s="176">
        <v>29</v>
      </c>
      <c r="I112" s="176"/>
      <c r="J112" s="174">
        <v>38</v>
      </c>
      <c r="K112" s="174"/>
      <c r="L112" s="174"/>
      <c r="M112" s="174"/>
      <c r="N112" s="174"/>
      <c r="O112" s="174">
        <v>7</v>
      </c>
      <c r="P112" s="230"/>
      <c r="Q112" s="230"/>
      <c r="R112" s="230"/>
      <c r="S112" s="230"/>
      <c r="T112" s="231"/>
      <c r="U112" s="174"/>
      <c r="V112" s="174"/>
      <c r="W112" s="174"/>
      <c r="X112" s="174"/>
      <c r="Y112" s="232">
        <v>1.5</v>
      </c>
      <c r="Z112" s="228" t="s">
        <v>605</v>
      </c>
      <c r="AA112" s="229"/>
      <c r="AB112" s="229"/>
      <c r="AE112" s="184"/>
      <c r="AF112" s="184"/>
    </row>
    <row r="113" spans="1:32" s="1" customFormat="1" ht="19.5" customHeight="1" x14ac:dyDescent="0.3">
      <c r="A113" s="409"/>
      <c r="B113" s="396"/>
      <c r="C113" s="332"/>
      <c r="D113" s="225" t="s">
        <v>52</v>
      </c>
      <c r="E113" s="176" t="s">
        <v>320</v>
      </c>
      <c r="F113" s="174">
        <v>2</v>
      </c>
      <c r="G113" s="176" t="s">
        <v>35</v>
      </c>
      <c r="H113" s="176">
        <v>29</v>
      </c>
      <c r="I113" s="176"/>
      <c r="J113" s="174">
        <v>38</v>
      </c>
      <c r="K113" s="174"/>
      <c r="L113" s="174"/>
      <c r="M113" s="174"/>
      <c r="N113" s="174"/>
      <c r="O113" s="174">
        <v>7</v>
      </c>
      <c r="P113" s="230"/>
      <c r="Q113" s="230"/>
      <c r="R113" s="230"/>
      <c r="S113" s="230"/>
      <c r="T113" s="231"/>
      <c r="U113" s="174"/>
      <c r="V113" s="174"/>
      <c r="W113" s="174"/>
      <c r="X113" s="174"/>
      <c r="Y113" s="232">
        <v>1.5</v>
      </c>
      <c r="Z113" s="228" t="s">
        <v>605</v>
      </c>
      <c r="AA113" s="229"/>
      <c r="AB113" s="229"/>
      <c r="AE113" s="184"/>
      <c r="AF113" s="184"/>
    </row>
    <row r="114" spans="1:32" s="1" customFormat="1" ht="19.5" customHeight="1" x14ac:dyDescent="0.3">
      <c r="A114" s="409"/>
      <c r="B114" s="396"/>
      <c r="C114" s="332"/>
      <c r="D114" s="174" t="s">
        <v>62</v>
      </c>
      <c r="E114" s="174" t="s">
        <v>305</v>
      </c>
      <c r="F114" s="174">
        <v>2</v>
      </c>
      <c r="G114" s="174" t="s">
        <v>32</v>
      </c>
      <c r="H114" s="176">
        <v>8</v>
      </c>
      <c r="I114" s="176">
        <v>15</v>
      </c>
      <c r="J114" s="174"/>
      <c r="K114" s="174"/>
      <c r="L114" s="174"/>
      <c r="M114" s="174"/>
      <c r="N114" s="174"/>
      <c r="O114" s="174"/>
      <c r="P114" s="230"/>
      <c r="Q114" s="230"/>
      <c r="R114" s="230"/>
      <c r="S114" s="230"/>
      <c r="T114" s="231"/>
      <c r="U114" s="174"/>
      <c r="V114" s="174"/>
      <c r="W114" s="174"/>
      <c r="X114" s="174"/>
      <c r="Y114" s="232"/>
      <c r="Z114" s="228" t="s">
        <v>612</v>
      </c>
      <c r="AA114" s="229"/>
      <c r="AB114" s="229"/>
      <c r="AE114" s="184"/>
      <c r="AF114" s="184"/>
    </row>
    <row r="115" spans="1:32" s="1" customFormat="1" ht="19.5" customHeight="1" x14ac:dyDescent="0.3">
      <c r="A115" s="409"/>
      <c r="B115" s="396"/>
      <c r="C115" s="332"/>
      <c r="D115" s="176" t="s">
        <v>81</v>
      </c>
      <c r="E115" s="176" t="s">
        <v>311</v>
      </c>
      <c r="F115" s="174">
        <v>2</v>
      </c>
      <c r="G115" s="174" t="s">
        <v>32</v>
      </c>
      <c r="H115" s="176">
        <v>21</v>
      </c>
      <c r="I115" s="176"/>
      <c r="J115" s="174"/>
      <c r="K115" s="174"/>
      <c r="L115" s="174"/>
      <c r="M115" s="174"/>
      <c r="N115" s="174"/>
      <c r="O115" s="174"/>
      <c r="P115" s="230"/>
      <c r="Q115" s="230"/>
      <c r="R115" s="230"/>
      <c r="S115" s="230"/>
      <c r="T115" s="231"/>
      <c r="U115" s="174"/>
      <c r="V115" s="174"/>
      <c r="W115" s="174"/>
      <c r="X115" s="174"/>
      <c r="Y115" s="232"/>
      <c r="Z115" s="228" t="s">
        <v>612</v>
      </c>
      <c r="AA115" s="229"/>
      <c r="AB115" s="229"/>
      <c r="AE115" s="184"/>
      <c r="AF115" s="184"/>
    </row>
    <row r="116" spans="1:32" s="1" customFormat="1" ht="19.5" customHeight="1" x14ac:dyDescent="0.3">
      <c r="A116" s="409"/>
      <c r="B116" s="396"/>
      <c r="C116" s="332"/>
      <c r="D116" s="174" t="s">
        <v>170</v>
      </c>
      <c r="E116" s="174" t="s">
        <v>306</v>
      </c>
      <c r="F116" s="174">
        <v>2</v>
      </c>
      <c r="G116" s="174" t="s">
        <v>32</v>
      </c>
      <c r="H116" s="176">
        <v>21</v>
      </c>
      <c r="I116" s="176"/>
      <c r="J116" s="174"/>
      <c r="K116" s="174"/>
      <c r="L116" s="174"/>
      <c r="M116" s="174"/>
      <c r="N116" s="174"/>
      <c r="O116" s="174"/>
      <c r="P116" s="230"/>
      <c r="Q116" s="230"/>
      <c r="R116" s="230"/>
      <c r="S116" s="230"/>
      <c r="T116" s="231"/>
      <c r="U116" s="174"/>
      <c r="V116" s="174"/>
      <c r="W116" s="174"/>
      <c r="X116" s="174"/>
      <c r="Y116" s="232"/>
      <c r="Z116" s="228" t="s">
        <v>612</v>
      </c>
      <c r="AA116" s="229"/>
      <c r="AB116" s="229"/>
      <c r="AE116" s="184"/>
      <c r="AF116" s="184"/>
    </row>
    <row r="117" spans="1:32" s="1" customFormat="1" ht="19.5" customHeight="1" x14ac:dyDescent="0.3">
      <c r="A117" s="409"/>
      <c r="B117" s="396"/>
      <c r="C117" s="332"/>
      <c r="D117" s="174" t="s">
        <v>61</v>
      </c>
      <c r="E117" s="174" t="s">
        <v>307</v>
      </c>
      <c r="F117" s="174">
        <v>2</v>
      </c>
      <c r="G117" s="174" t="s">
        <v>32</v>
      </c>
      <c r="H117" s="176">
        <v>11</v>
      </c>
      <c r="I117" s="176"/>
      <c r="J117" s="174"/>
      <c r="K117" s="174"/>
      <c r="L117" s="174"/>
      <c r="M117" s="174"/>
      <c r="N117" s="174"/>
      <c r="O117" s="174"/>
      <c r="P117" s="230"/>
      <c r="Q117" s="230"/>
      <c r="R117" s="230"/>
      <c r="S117" s="230"/>
      <c r="T117" s="231"/>
      <c r="U117" s="174"/>
      <c r="V117" s="174"/>
      <c r="W117" s="174"/>
      <c r="X117" s="174"/>
      <c r="Y117" s="232"/>
      <c r="Z117" s="228" t="s">
        <v>612</v>
      </c>
      <c r="AA117" s="229"/>
      <c r="AB117" s="229"/>
      <c r="AE117" s="184"/>
      <c r="AF117" s="184"/>
    </row>
    <row r="118" spans="1:32" s="1" customFormat="1" ht="19.5" customHeight="1" x14ac:dyDescent="0.3">
      <c r="A118" s="409"/>
      <c r="B118" s="396"/>
      <c r="C118" s="332"/>
      <c r="D118" s="225" t="s">
        <v>44</v>
      </c>
      <c r="E118" s="176" t="s">
        <v>308</v>
      </c>
      <c r="F118" s="174">
        <v>2</v>
      </c>
      <c r="G118" s="174" t="s">
        <v>32</v>
      </c>
      <c r="H118" s="176">
        <v>7</v>
      </c>
      <c r="I118" s="176"/>
      <c r="J118" s="174"/>
      <c r="K118" s="174"/>
      <c r="L118" s="174"/>
      <c r="M118" s="174"/>
      <c r="N118" s="174"/>
      <c r="O118" s="174"/>
      <c r="P118" s="230"/>
      <c r="Q118" s="230"/>
      <c r="R118" s="230"/>
      <c r="S118" s="230"/>
      <c r="T118" s="231"/>
      <c r="U118" s="174"/>
      <c r="V118" s="174"/>
      <c r="W118" s="174"/>
      <c r="X118" s="174"/>
      <c r="Y118" s="232"/>
      <c r="Z118" s="228" t="s">
        <v>612</v>
      </c>
      <c r="AA118" s="229"/>
      <c r="AB118" s="229"/>
      <c r="AE118" s="184"/>
      <c r="AF118" s="184"/>
    </row>
    <row r="119" spans="1:32" s="1" customFormat="1" ht="19.5" customHeight="1" x14ac:dyDescent="0.3">
      <c r="A119" s="409"/>
      <c r="B119" s="396"/>
      <c r="C119" s="332"/>
      <c r="D119" s="176" t="s">
        <v>210</v>
      </c>
      <c r="E119" s="176" t="s">
        <v>323</v>
      </c>
      <c r="F119" s="174">
        <v>2</v>
      </c>
      <c r="G119" s="174" t="s">
        <v>32</v>
      </c>
      <c r="H119" s="176">
        <v>4</v>
      </c>
      <c r="I119" s="176"/>
      <c r="J119" s="174"/>
      <c r="K119" s="174"/>
      <c r="L119" s="174"/>
      <c r="M119" s="174"/>
      <c r="N119" s="174"/>
      <c r="O119" s="174"/>
      <c r="P119" s="230"/>
      <c r="Q119" s="230"/>
      <c r="R119" s="230"/>
      <c r="S119" s="230"/>
      <c r="T119" s="231"/>
      <c r="U119" s="174"/>
      <c r="V119" s="174"/>
      <c r="W119" s="174"/>
      <c r="X119" s="174"/>
      <c r="Y119" s="232"/>
      <c r="Z119" s="228" t="s">
        <v>612</v>
      </c>
      <c r="AA119" s="229"/>
      <c r="AB119" s="229"/>
      <c r="AE119" s="184"/>
      <c r="AF119" s="184"/>
    </row>
    <row r="120" spans="1:32" s="1" customFormat="1" ht="19.5" customHeight="1" x14ac:dyDescent="0.3">
      <c r="A120" s="409"/>
      <c r="B120" s="396"/>
      <c r="C120" s="332"/>
      <c r="D120" s="225" t="s">
        <v>43</v>
      </c>
      <c r="E120" s="176" t="s">
        <v>309</v>
      </c>
      <c r="F120" s="174">
        <v>2</v>
      </c>
      <c r="G120" s="174" t="s">
        <v>32</v>
      </c>
      <c r="H120" s="176">
        <v>7</v>
      </c>
      <c r="I120" s="176"/>
      <c r="J120" s="174"/>
      <c r="K120" s="174"/>
      <c r="L120" s="174"/>
      <c r="M120" s="174"/>
      <c r="N120" s="174"/>
      <c r="O120" s="174"/>
      <c r="P120" s="230"/>
      <c r="Q120" s="230"/>
      <c r="R120" s="230"/>
      <c r="S120" s="230"/>
      <c r="T120" s="231"/>
      <c r="U120" s="174"/>
      <c r="V120" s="174"/>
      <c r="W120" s="174"/>
      <c r="X120" s="174"/>
      <c r="Y120" s="232"/>
      <c r="Z120" s="228" t="s">
        <v>612</v>
      </c>
      <c r="AA120" s="229"/>
      <c r="AB120" s="229"/>
      <c r="AE120" s="184"/>
      <c r="AF120" s="184"/>
    </row>
    <row r="121" spans="1:32" s="1" customFormat="1" ht="19.5" customHeight="1" x14ac:dyDescent="0.3">
      <c r="A121" s="409"/>
      <c r="B121" s="396"/>
      <c r="C121" s="332"/>
      <c r="D121" s="225" t="s">
        <v>41</v>
      </c>
      <c r="E121" s="174" t="s">
        <v>317</v>
      </c>
      <c r="F121" s="174">
        <v>2</v>
      </c>
      <c r="G121" s="174" t="s">
        <v>32</v>
      </c>
      <c r="H121" s="176">
        <v>6</v>
      </c>
      <c r="I121" s="176"/>
      <c r="J121" s="174"/>
      <c r="K121" s="174"/>
      <c r="L121" s="174"/>
      <c r="M121" s="174"/>
      <c r="N121" s="174"/>
      <c r="O121" s="174"/>
      <c r="P121" s="230"/>
      <c r="Q121" s="230"/>
      <c r="R121" s="230"/>
      <c r="S121" s="230"/>
      <c r="T121" s="231"/>
      <c r="U121" s="174"/>
      <c r="V121" s="174"/>
      <c r="W121" s="174"/>
      <c r="X121" s="174"/>
      <c r="Y121" s="232"/>
      <c r="Z121" s="228" t="s">
        <v>612</v>
      </c>
      <c r="AA121" s="229"/>
      <c r="AB121" s="229"/>
      <c r="AE121" s="184"/>
      <c r="AF121" s="184"/>
    </row>
    <row r="122" spans="1:32" s="1" customFormat="1" ht="19.5" customHeight="1" x14ac:dyDescent="0.3">
      <c r="A122" s="409"/>
      <c r="B122" s="396"/>
      <c r="C122" s="332"/>
      <c r="D122" s="174" t="s">
        <v>51</v>
      </c>
      <c r="E122" s="174" t="s">
        <v>314</v>
      </c>
      <c r="F122" s="174">
        <v>2</v>
      </c>
      <c r="G122" s="174" t="s">
        <v>32</v>
      </c>
      <c r="H122" s="176">
        <v>9</v>
      </c>
      <c r="I122" s="176"/>
      <c r="J122" s="174"/>
      <c r="K122" s="174"/>
      <c r="L122" s="174"/>
      <c r="M122" s="174"/>
      <c r="N122" s="174"/>
      <c r="O122" s="174"/>
      <c r="P122" s="230"/>
      <c r="Q122" s="230"/>
      <c r="R122" s="230"/>
      <c r="S122" s="230"/>
      <c r="T122" s="231"/>
      <c r="U122" s="174"/>
      <c r="V122" s="174"/>
      <c r="W122" s="174"/>
      <c r="X122" s="174"/>
      <c r="Y122" s="232"/>
      <c r="Z122" s="228" t="s">
        <v>612</v>
      </c>
      <c r="AA122" s="229"/>
      <c r="AB122" s="229"/>
      <c r="AE122" s="184"/>
      <c r="AF122" s="184"/>
    </row>
    <row r="123" spans="1:32" s="1" customFormat="1" ht="19.5" customHeight="1" x14ac:dyDescent="0.3">
      <c r="A123" s="409"/>
      <c r="B123" s="396"/>
      <c r="C123" s="332"/>
      <c r="D123" s="176" t="s">
        <v>60</v>
      </c>
      <c r="E123" s="176" t="s">
        <v>310</v>
      </c>
      <c r="F123" s="174">
        <v>2</v>
      </c>
      <c r="G123" s="174" t="s">
        <v>32</v>
      </c>
      <c r="H123" s="176">
        <v>16</v>
      </c>
      <c r="I123" s="176"/>
      <c r="J123" s="174"/>
      <c r="K123" s="174"/>
      <c r="L123" s="174"/>
      <c r="M123" s="174"/>
      <c r="N123" s="174"/>
      <c r="O123" s="174"/>
      <c r="P123" s="230"/>
      <c r="Q123" s="230"/>
      <c r="R123" s="230"/>
      <c r="S123" s="230"/>
      <c r="T123" s="231"/>
      <c r="U123" s="174"/>
      <c r="V123" s="174"/>
      <c r="W123" s="174"/>
      <c r="X123" s="174"/>
      <c r="Y123" s="232"/>
      <c r="Z123" s="228" t="s">
        <v>612</v>
      </c>
      <c r="AA123" s="229"/>
      <c r="AB123" s="229"/>
      <c r="AE123" s="184"/>
      <c r="AF123" s="184"/>
    </row>
    <row r="124" spans="1:32" s="1" customFormat="1" ht="19.5" customHeight="1" x14ac:dyDescent="0.3">
      <c r="A124" s="409"/>
      <c r="B124" s="396"/>
      <c r="C124" s="332"/>
      <c r="D124" s="225" t="s">
        <v>114</v>
      </c>
      <c r="E124" s="174" t="s">
        <v>312</v>
      </c>
      <c r="F124" s="174">
        <v>2</v>
      </c>
      <c r="G124" s="174" t="s">
        <v>32</v>
      </c>
      <c r="H124" s="176">
        <v>14</v>
      </c>
      <c r="I124" s="176"/>
      <c r="J124" s="174"/>
      <c r="K124" s="174"/>
      <c r="L124" s="174"/>
      <c r="M124" s="174"/>
      <c r="N124" s="174"/>
      <c r="O124" s="174"/>
      <c r="P124" s="230"/>
      <c r="Q124" s="230"/>
      <c r="R124" s="230"/>
      <c r="S124" s="230"/>
      <c r="T124" s="231"/>
      <c r="U124" s="174"/>
      <c r="V124" s="174"/>
      <c r="W124" s="174"/>
      <c r="X124" s="174"/>
      <c r="Y124" s="232"/>
      <c r="Z124" s="228" t="s">
        <v>612</v>
      </c>
      <c r="AA124" s="229"/>
      <c r="AB124" s="229"/>
      <c r="AE124" s="184"/>
      <c r="AF124" s="184"/>
    </row>
    <row r="125" spans="1:32" s="1" customFormat="1" ht="19.5" customHeight="1" x14ac:dyDescent="0.3">
      <c r="A125" s="409"/>
      <c r="B125" s="396"/>
      <c r="C125" s="332"/>
      <c r="D125" s="225" t="s">
        <v>46</v>
      </c>
      <c r="E125" s="176" t="s">
        <v>313</v>
      </c>
      <c r="F125" s="174">
        <v>2</v>
      </c>
      <c r="G125" s="174" t="s">
        <v>32</v>
      </c>
      <c r="H125" s="176">
        <v>12</v>
      </c>
      <c r="I125" s="176"/>
      <c r="J125" s="174"/>
      <c r="K125" s="174"/>
      <c r="L125" s="174"/>
      <c r="M125" s="174"/>
      <c r="N125" s="174"/>
      <c r="O125" s="174"/>
      <c r="P125" s="230"/>
      <c r="Q125" s="230"/>
      <c r="R125" s="230"/>
      <c r="S125" s="230"/>
      <c r="T125" s="231"/>
      <c r="U125" s="174"/>
      <c r="V125" s="174"/>
      <c r="W125" s="174"/>
      <c r="X125" s="174"/>
      <c r="Y125" s="232"/>
      <c r="Z125" s="228" t="s">
        <v>612</v>
      </c>
      <c r="AA125" s="229"/>
      <c r="AB125" s="229"/>
      <c r="AE125" s="184"/>
      <c r="AF125" s="184"/>
    </row>
    <row r="126" spans="1:32" s="1" customFormat="1" ht="19.5" customHeight="1" x14ac:dyDescent="0.3">
      <c r="A126" s="409"/>
      <c r="B126" s="396"/>
      <c r="C126" s="332"/>
      <c r="D126" s="174" t="s">
        <v>62</v>
      </c>
      <c r="E126" s="174" t="s">
        <v>305</v>
      </c>
      <c r="F126" s="174">
        <v>2</v>
      </c>
      <c r="G126" s="174" t="s">
        <v>32</v>
      </c>
      <c r="H126" s="176">
        <v>8</v>
      </c>
      <c r="I126" s="176"/>
      <c r="J126" s="174">
        <v>38</v>
      </c>
      <c r="K126" s="174"/>
      <c r="L126" s="174"/>
      <c r="M126" s="174"/>
      <c r="N126" s="174"/>
      <c r="O126" s="174">
        <v>7</v>
      </c>
      <c r="P126" s="174"/>
      <c r="Q126" s="230"/>
      <c r="R126" s="230"/>
      <c r="S126" s="230"/>
      <c r="T126" s="231"/>
      <c r="U126" s="174"/>
      <c r="V126" s="174"/>
      <c r="W126" s="174"/>
      <c r="X126" s="174"/>
      <c r="Y126" s="232">
        <v>2</v>
      </c>
      <c r="Z126" s="228" t="s">
        <v>611</v>
      </c>
      <c r="AA126" s="229"/>
      <c r="AB126" s="229"/>
      <c r="AE126" s="184"/>
      <c r="AF126" s="184"/>
    </row>
    <row r="127" spans="1:32" s="1" customFormat="1" ht="19.5" customHeight="1" x14ac:dyDescent="0.3">
      <c r="A127" s="409"/>
      <c r="B127" s="396"/>
      <c r="C127" s="332"/>
      <c r="D127" s="176" t="s">
        <v>81</v>
      </c>
      <c r="E127" s="176" t="s">
        <v>311</v>
      </c>
      <c r="F127" s="174">
        <v>2</v>
      </c>
      <c r="G127" s="174" t="s">
        <v>32</v>
      </c>
      <c r="H127" s="176">
        <v>21</v>
      </c>
      <c r="I127" s="176"/>
      <c r="J127" s="174"/>
      <c r="K127" s="174"/>
      <c r="L127" s="174"/>
      <c r="M127" s="174"/>
      <c r="N127" s="174"/>
      <c r="O127" s="174"/>
      <c r="P127" s="174"/>
      <c r="Q127" s="230"/>
      <c r="R127" s="230"/>
      <c r="S127" s="230"/>
      <c r="T127" s="231"/>
      <c r="U127" s="174"/>
      <c r="V127" s="174"/>
      <c r="W127" s="174"/>
      <c r="X127" s="174"/>
      <c r="Y127" s="232"/>
      <c r="Z127" s="228" t="s">
        <v>611</v>
      </c>
      <c r="AA127" s="229"/>
      <c r="AB127" s="229"/>
      <c r="AE127" s="184"/>
      <c r="AF127" s="184"/>
    </row>
    <row r="128" spans="1:32" s="1" customFormat="1" ht="19.5" customHeight="1" x14ac:dyDescent="0.3">
      <c r="A128" s="409"/>
      <c r="B128" s="396"/>
      <c r="C128" s="332"/>
      <c r="D128" s="174" t="s">
        <v>170</v>
      </c>
      <c r="E128" s="174" t="s">
        <v>306</v>
      </c>
      <c r="F128" s="174">
        <v>2</v>
      </c>
      <c r="G128" s="174" t="s">
        <v>32</v>
      </c>
      <c r="H128" s="176">
        <v>21</v>
      </c>
      <c r="I128" s="176"/>
      <c r="J128" s="174"/>
      <c r="K128" s="174"/>
      <c r="L128" s="174"/>
      <c r="M128" s="174"/>
      <c r="N128" s="174"/>
      <c r="O128" s="174"/>
      <c r="P128" s="174"/>
      <c r="Q128" s="230"/>
      <c r="R128" s="230"/>
      <c r="S128" s="230"/>
      <c r="T128" s="231"/>
      <c r="U128" s="174"/>
      <c r="V128" s="174"/>
      <c r="W128" s="174"/>
      <c r="X128" s="174"/>
      <c r="Y128" s="232"/>
      <c r="Z128" s="228" t="s">
        <v>611</v>
      </c>
      <c r="AA128" s="229"/>
      <c r="AB128" s="229"/>
      <c r="AE128" s="184"/>
      <c r="AF128" s="184"/>
    </row>
    <row r="129" spans="1:35" s="1" customFormat="1" ht="19.5" customHeight="1" x14ac:dyDescent="0.3">
      <c r="A129" s="409"/>
      <c r="B129" s="396"/>
      <c r="C129" s="332"/>
      <c r="D129" s="174" t="s">
        <v>61</v>
      </c>
      <c r="E129" s="174" t="s">
        <v>307</v>
      </c>
      <c r="F129" s="174">
        <v>2</v>
      </c>
      <c r="G129" s="174" t="s">
        <v>32</v>
      </c>
      <c r="H129" s="176">
        <v>11</v>
      </c>
      <c r="I129" s="176"/>
      <c r="J129" s="174">
        <v>38</v>
      </c>
      <c r="K129" s="174"/>
      <c r="L129" s="174"/>
      <c r="M129" s="174"/>
      <c r="N129" s="174"/>
      <c r="O129" s="174">
        <v>7</v>
      </c>
      <c r="P129" s="230"/>
      <c r="Q129" s="230"/>
      <c r="R129" s="230"/>
      <c r="S129" s="230"/>
      <c r="T129" s="231"/>
      <c r="U129" s="174"/>
      <c r="V129" s="174"/>
      <c r="W129" s="174"/>
      <c r="X129" s="174"/>
      <c r="Y129" s="232">
        <v>1.5</v>
      </c>
      <c r="Z129" s="228" t="s">
        <v>612</v>
      </c>
      <c r="AA129" s="229"/>
      <c r="AB129" s="229"/>
      <c r="AE129" s="184"/>
      <c r="AF129" s="184"/>
    </row>
    <row r="130" spans="1:35" s="1" customFormat="1" ht="19.5" customHeight="1" x14ac:dyDescent="0.3">
      <c r="A130" s="409"/>
      <c r="B130" s="396"/>
      <c r="C130" s="332"/>
      <c r="D130" s="225" t="s">
        <v>44</v>
      </c>
      <c r="E130" s="176" t="s">
        <v>308</v>
      </c>
      <c r="F130" s="174">
        <v>2</v>
      </c>
      <c r="G130" s="174" t="s">
        <v>32</v>
      </c>
      <c r="H130" s="176">
        <v>7</v>
      </c>
      <c r="I130" s="176"/>
      <c r="J130" s="174"/>
      <c r="K130" s="174"/>
      <c r="L130" s="174"/>
      <c r="M130" s="174"/>
      <c r="N130" s="174"/>
      <c r="O130" s="174"/>
      <c r="P130" s="174"/>
      <c r="Q130" s="230"/>
      <c r="R130" s="230"/>
      <c r="S130" s="230"/>
      <c r="T130" s="231"/>
      <c r="U130" s="174"/>
      <c r="V130" s="174"/>
      <c r="W130" s="174"/>
      <c r="X130" s="174"/>
      <c r="Y130" s="232"/>
      <c r="Z130" s="228" t="s">
        <v>612</v>
      </c>
      <c r="AA130" s="229"/>
      <c r="AB130" s="229"/>
      <c r="AE130" s="184"/>
      <c r="AF130" s="184"/>
    </row>
    <row r="131" spans="1:35" s="1" customFormat="1" ht="19.5" customHeight="1" x14ac:dyDescent="0.3">
      <c r="A131" s="409"/>
      <c r="B131" s="396"/>
      <c r="C131" s="332"/>
      <c r="D131" s="176" t="s">
        <v>210</v>
      </c>
      <c r="E131" s="176" t="s">
        <v>323</v>
      </c>
      <c r="F131" s="174">
        <v>2</v>
      </c>
      <c r="G131" s="174" t="s">
        <v>32</v>
      </c>
      <c r="H131" s="176">
        <v>4</v>
      </c>
      <c r="I131" s="176"/>
      <c r="J131" s="174"/>
      <c r="K131" s="174"/>
      <c r="L131" s="174"/>
      <c r="M131" s="174"/>
      <c r="N131" s="174"/>
      <c r="O131" s="174"/>
      <c r="P131" s="174"/>
      <c r="Q131" s="230"/>
      <c r="R131" s="230"/>
      <c r="S131" s="230"/>
      <c r="T131" s="231"/>
      <c r="U131" s="174"/>
      <c r="V131" s="174"/>
      <c r="W131" s="174"/>
      <c r="X131" s="174"/>
      <c r="Y131" s="232"/>
      <c r="Z131" s="228" t="s">
        <v>612</v>
      </c>
      <c r="AA131" s="229"/>
      <c r="AB131" s="229"/>
      <c r="AE131" s="184"/>
      <c r="AF131" s="184"/>
    </row>
    <row r="132" spans="1:35" s="1" customFormat="1" ht="19.5" customHeight="1" x14ac:dyDescent="0.3">
      <c r="A132" s="409"/>
      <c r="B132" s="396"/>
      <c r="C132" s="332"/>
      <c r="D132" s="225" t="s">
        <v>43</v>
      </c>
      <c r="E132" s="176" t="s">
        <v>309</v>
      </c>
      <c r="F132" s="174">
        <v>2</v>
      </c>
      <c r="G132" s="174" t="s">
        <v>32</v>
      </c>
      <c r="H132" s="176">
        <v>7</v>
      </c>
      <c r="I132" s="176"/>
      <c r="J132" s="174"/>
      <c r="K132" s="174"/>
      <c r="L132" s="174"/>
      <c r="M132" s="174"/>
      <c r="N132" s="174"/>
      <c r="O132" s="174"/>
      <c r="P132" s="174"/>
      <c r="Q132" s="230"/>
      <c r="R132" s="230"/>
      <c r="S132" s="230"/>
      <c r="T132" s="231"/>
      <c r="U132" s="174"/>
      <c r="V132" s="174"/>
      <c r="W132" s="174"/>
      <c r="X132" s="174"/>
      <c r="Y132" s="232"/>
      <c r="Z132" s="228" t="s">
        <v>612</v>
      </c>
      <c r="AA132" s="229"/>
      <c r="AB132" s="229"/>
      <c r="AE132" s="184"/>
      <c r="AF132" s="184"/>
    </row>
    <row r="133" spans="1:35" s="1" customFormat="1" ht="19.5" customHeight="1" x14ac:dyDescent="0.3">
      <c r="A133" s="409"/>
      <c r="B133" s="396"/>
      <c r="C133" s="332"/>
      <c r="D133" s="225" t="s">
        <v>41</v>
      </c>
      <c r="E133" s="174" t="s">
        <v>317</v>
      </c>
      <c r="F133" s="174">
        <v>2</v>
      </c>
      <c r="G133" s="174" t="s">
        <v>32</v>
      </c>
      <c r="H133" s="176">
        <v>6</v>
      </c>
      <c r="I133" s="176"/>
      <c r="J133" s="174"/>
      <c r="K133" s="174"/>
      <c r="L133" s="174"/>
      <c r="M133" s="174"/>
      <c r="N133" s="174"/>
      <c r="O133" s="174"/>
      <c r="P133" s="174"/>
      <c r="Q133" s="230"/>
      <c r="R133" s="230"/>
      <c r="S133" s="230"/>
      <c r="T133" s="231"/>
      <c r="U133" s="174"/>
      <c r="V133" s="174"/>
      <c r="W133" s="174"/>
      <c r="X133" s="174"/>
      <c r="Y133" s="232"/>
      <c r="Z133" s="228" t="s">
        <v>612</v>
      </c>
      <c r="AA133" s="229"/>
      <c r="AB133" s="229"/>
      <c r="AE133" s="184"/>
      <c r="AF133" s="184"/>
    </row>
    <row r="134" spans="1:35" s="1" customFormat="1" ht="19.5" customHeight="1" x14ac:dyDescent="0.3">
      <c r="A134" s="409"/>
      <c r="B134" s="396"/>
      <c r="C134" s="332"/>
      <c r="D134" s="174" t="s">
        <v>51</v>
      </c>
      <c r="E134" s="174" t="s">
        <v>314</v>
      </c>
      <c r="F134" s="174">
        <v>2</v>
      </c>
      <c r="G134" s="174" t="s">
        <v>32</v>
      </c>
      <c r="H134" s="176">
        <v>9</v>
      </c>
      <c r="I134" s="176"/>
      <c r="J134" s="174"/>
      <c r="K134" s="174"/>
      <c r="L134" s="174"/>
      <c r="M134" s="174"/>
      <c r="N134" s="174"/>
      <c r="O134" s="174"/>
      <c r="P134" s="174"/>
      <c r="Q134" s="230"/>
      <c r="R134" s="230"/>
      <c r="S134" s="230"/>
      <c r="T134" s="231"/>
      <c r="U134" s="174"/>
      <c r="V134" s="174"/>
      <c r="W134" s="174"/>
      <c r="X134" s="174"/>
      <c r="Y134" s="232"/>
      <c r="Z134" s="228" t="s">
        <v>612</v>
      </c>
      <c r="AA134" s="229"/>
      <c r="AB134" s="229"/>
      <c r="AE134" s="184"/>
      <c r="AF134" s="184"/>
    </row>
    <row r="135" spans="1:35" s="1" customFormat="1" ht="19.5" customHeight="1" x14ac:dyDescent="0.3">
      <c r="A135" s="409"/>
      <c r="B135" s="396"/>
      <c r="C135" s="332"/>
      <c r="D135" s="176" t="s">
        <v>60</v>
      </c>
      <c r="E135" s="176" t="s">
        <v>310</v>
      </c>
      <c r="F135" s="174">
        <v>2</v>
      </c>
      <c r="G135" s="174" t="s">
        <v>32</v>
      </c>
      <c r="H135" s="176">
        <v>16</v>
      </c>
      <c r="I135" s="176"/>
      <c r="J135" s="174">
        <v>38</v>
      </c>
      <c r="K135" s="174"/>
      <c r="L135" s="174"/>
      <c r="M135" s="174"/>
      <c r="N135" s="174"/>
      <c r="O135" s="174">
        <v>7</v>
      </c>
      <c r="P135" s="230"/>
      <c r="Q135" s="230"/>
      <c r="R135" s="230"/>
      <c r="S135" s="230"/>
      <c r="T135" s="231"/>
      <c r="U135" s="174"/>
      <c r="V135" s="174"/>
      <c r="W135" s="174"/>
      <c r="X135" s="174"/>
      <c r="Y135" s="232">
        <v>1.5</v>
      </c>
      <c r="Z135" s="228" t="s">
        <v>612</v>
      </c>
      <c r="AA135" s="229"/>
      <c r="AB135" s="229"/>
      <c r="AE135" s="184"/>
      <c r="AF135" s="184"/>
    </row>
    <row r="136" spans="1:35" s="1" customFormat="1" ht="19.5" customHeight="1" x14ac:dyDescent="0.3">
      <c r="A136" s="409"/>
      <c r="B136" s="396"/>
      <c r="C136" s="332"/>
      <c r="D136" s="225" t="s">
        <v>114</v>
      </c>
      <c r="E136" s="174" t="s">
        <v>312</v>
      </c>
      <c r="F136" s="174">
        <v>2</v>
      </c>
      <c r="G136" s="174" t="s">
        <v>32</v>
      </c>
      <c r="H136" s="176">
        <v>14</v>
      </c>
      <c r="I136" s="176"/>
      <c r="J136" s="174"/>
      <c r="K136" s="174"/>
      <c r="L136" s="174"/>
      <c r="M136" s="174"/>
      <c r="N136" s="174"/>
      <c r="O136" s="174"/>
      <c r="P136" s="174"/>
      <c r="Q136" s="230"/>
      <c r="R136" s="233"/>
      <c r="S136" s="230"/>
      <c r="T136" s="231"/>
      <c r="U136" s="174"/>
      <c r="V136" s="174"/>
      <c r="W136" s="174"/>
      <c r="X136" s="174"/>
      <c r="Y136" s="232"/>
      <c r="Z136" s="228" t="s">
        <v>612</v>
      </c>
      <c r="AA136" s="229"/>
      <c r="AB136" s="229"/>
      <c r="AE136" s="184"/>
      <c r="AF136" s="184"/>
    </row>
    <row r="137" spans="1:35" s="1" customFormat="1" ht="19.5" customHeight="1" x14ac:dyDescent="0.3">
      <c r="A137" s="409"/>
      <c r="B137" s="396"/>
      <c r="C137" s="332"/>
      <c r="D137" s="225" t="s">
        <v>46</v>
      </c>
      <c r="E137" s="176" t="s">
        <v>313</v>
      </c>
      <c r="F137" s="174">
        <v>2</v>
      </c>
      <c r="G137" s="174" t="s">
        <v>32</v>
      </c>
      <c r="H137" s="176">
        <v>12</v>
      </c>
      <c r="I137" s="176"/>
      <c r="J137" s="231"/>
      <c r="K137" s="231"/>
      <c r="L137" s="231"/>
      <c r="M137" s="231"/>
      <c r="N137" s="231"/>
      <c r="O137" s="231"/>
      <c r="P137" s="231"/>
      <c r="Q137" s="231"/>
      <c r="R137" s="231"/>
      <c r="S137" s="231"/>
      <c r="T137" s="231"/>
      <c r="U137" s="231"/>
      <c r="V137" s="231"/>
      <c r="W137" s="231"/>
      <c r="X137" s="231"/>
      <c r="Y137" s="231"/>
      <c r="Z137" s="228" t="s">
        <v>612</v>
      </c>
      <c r="AA137" s="229"/>
      <c r="AB137" s="229"/>
      <c r="AE137" s="184"/>
      <c r="AF137" s="184"/>
    </row>
    <row r="138" spans="1:35" s="1" customFormat="1" ht="19.5" customHeight="1" x14ac:dyDescent="0.3">
      <c r="A138" s="409"/>
      <c r="B138" s="396"/>
      <c r="C138" s="332"/>
      <c r="D138" s="225" t="s">
        <v>52</v>
      </c>
      <c r="E138" s="176" t="s">
        <v>315</v>
      </c>
      <c r="F138" s="174">
        <v>2</v>
      </c>
      <c r="G138" s="174" t="s">
        <v>32</v>
      </c>
      <c r="H138" s="176">
        <v>30</v>
      </c>
      <c r="I138" s="176">
        <v>15</v>
      </c>
      <c r="J138" s="231"/>
      <c r="K138" s="231"/>
      <c r="L138" s="231"/>
      <c r="M138" s="231"/>
      <c r="N138" s="231"/>
      <c r="O138" s="231"/>
      <c r="P138" s="231"/>
      <c r="Q138" s="231"/>
      <c r="R138" s="231"/>
      <c r="S138" s="231"/>
      <c r="T138" s="231"/>
      <c r="U138" s="231"/>
      <c r="V138" s="231"/>
      <c r="W138" s="231"/>
      <c r="X138" s="231"/>
      <c r="Y138" s="231"/>
      <c r="Z138" s="228" t="s">
        <v>612</v>
      </c>
      <c r="AA138" s="229"/>
      <c r="AB138" s="229"/>
      <c r="AE138" s="184"/>
      <c r="AF138" s="184"/>
    </row>
    <row r="139" spans="1:35" s="1" customFormat="1" ht="19.5" customHeight="1" x14ac:dyDescent="0.3">
      <c r="A139" s="409"/>
      <c r="B139" s="396"/>
      <c r="C139" s="332"/>
      <c r="D139" s="225" t="s">
        <v>52</v>
      </c>
      <c r="E139" s="176" t="s">
        <v>316</v>
      </c>
      <c r="F139" s="174">
        <v>2</v>
      </c>
      <c r="G139" s="174" t="s">
        <v>32</v>
      </c>
      <c r="H139" s="176">
        <v>30</v>
      </c>
      <c r="I139" s="176"/>
      <c r="J139" s="231"/>
      <c r="K139" s="231"/>
      <c r="L139" s="231"/>
      <c r="M139" s="231"/>
      <c r="N139" s="231"/>
      <c r="O139" s="231"/>
      <c r="P139" s="231"/>
      <c r="Q139" s="231"/>
      <c r="R139" s="231"/>
      <c r="S139" s="231"/>
      <c r="T139" s="231"/>
      <c r="U139" s="231"/>
      <c r="V139" s="231"/>
      <c r="W139" s="231"/>
      <c r="X139" s="231"/>
      <c r="Y139" s="231"/>
      <c r="Z139" s="228" t="s">
        <v>612</v>
      </c>
      <c r="AA139" s="229"/>
      <c r="AB139" s="229"/>
      <c r="AE139" s="184"/>
      <c r="AF139" s="184"/>
    </row>
    <row r="140" spans="1:35" s="1" customFormat="1" ht="19.5" customHeight="1" x14ac:dyDescent="0.3">
      <c r="A140" s="409"/>
      <c r="B140" s="396"/>
      <c r="C140" s="332"/>
      <c r="D140" s="225" t="s">
        <v>52</v>
      </c>
      <c r="E140" s="176" t="s">
        <v>315</v>
      </c>
      <c r="F140" s="174">
        <v>2</v>
      </c>
      <c r="G140" s="174" t="s">
        <v>32</v>
      </c>
      <c r="H140" s="176">
        <v>30</v>
      </c>
      <c r="I140" s="176"/>
      <c r="J140" s="174">
        <v>38</v>
      </c>
      <c r="K140" s="174"/>
      <c r="L140" s="174"/>
      <c r="M140" s="174"/>
      <c r="N140" s="174"/>
      <c r="O140" s="174">
        <v>7</v>
      </c>
      <c r="P140" s="174"/>
      <c r="Q140" s="230"/>
      <c r="R140" s="230"/>
      <c r="S140" s="230"/>
      <c r="T140" s="231"/>
      <c r="U140" s="174"/>
      <c r="V140" s="174"/>
      <c r="W140" s="174"/>
      <c r="X140" s="174"/>
      <c r="Y140" s="232">
        <v>2</v>
      </c>
      <c r="Z140" s="228" t="s">
        <v>613</v>
      </c>
      <c r="AA140" s="229"/>
      <c r="AB140" s="229"/>
      <c r="AE140" s="215"/>
      <c r="AF140" s="215" t="s">
        <v>543</v>
      </c>
      <c r="AG140" s="95"/>
      <c r="AH140" s="95" t="s">
        <v>533</v>
      </c>
      <c r="AI140" s="95"/>
    </row>
    <row r="141" spans="1:35" s="1" customFormat="1" ht="19.5" customHeight="1" x14ac:dyDescent="0.3">
      <c r="A141" s="409"/>
      <c r="B141" s="396"/>
      <c r="C141" s="332"/>
      <c r="D141" s="225" t="s">
        <v>52</v>
      </c>
      <c r="E141" s="176" t="s">
        <v>316</v>
      </c>
      <c r="F141" s="174">
        <v>2</v>
      </c>
      <c r="G141" s="174" t="s">
        <v>32</v>
      </c>
      <c r="H141" s="176">
        <v>30</v>
      </c>
      <c r="I141" s="176"/>
      <c r="J141" s="174">
        <v>38</v>
      </c>
      <c r="K141" s="174"/>
      <c r="L141" s="174"/>
      <c r="M141" s="174"/>
      <c r="N141" s="174"/>
      <c r="O141" s="174">
        <v>7</v>
      </c>
      <c r="P141" s="230"/>
      <c r="Q141" s="230"/>
      <c r="R141" s="230"/>
      <c r="S141" s="230"/>
      <c r="T141" s="231"/>
      <c r="U141" s="174"/>
      <c r="V141" s="174"/>
      <c r="W141" s="174"/>
      <c r="X141" s="174"/>
      <c r="Y141" s="232">
        <v>1.5</v>
      </c>
      <c r="Z141" s="228" t="s">
        <v>613</v>
      </c>
      <c r="AA141" s="229"/>
      <c r="AB141" s="229">
        <v>22</v>
      </c>
      <c r="AE141" s="215" t="s">
        <v>544</v>
      </c>
      <c r="AF141" s="216">
        <v>8</v>
      </c>
      <c r="AG141" s="95"/>
      <c r="AH141" s="95">
        <v>7</v>
      </c>
      <c r="AI141" s="95"/>
    </row>
    <row r="142" spans="1:35" s="1" customFormat="1" ht="19.5" customHeight="1" x14ac:dyDescent="0.3">
      <c r="A142" s="409"/>
      <c r="B142" s="396"/>
      <c r="C142" s="332"/>
      <c r="D142" s="174" t="s">
        <v>51</v>
      </c>
      <c r="E142" s="174" t="s">
        <v>101</v>
      </c>
      <c r="F142" s="174">
        <v>2</v>
      </c>
      <c r="G142" s="176" t="s">
        <v>32</v>
      </c>
      <c r="H142" s="174">
        <v>10</v>
      </c>
      <c r="I142" s="176">
        <v>15</v>
      </c>
      <c r="J142" s="174"/>
      <c r="K142" s="174"/>
      <c r="L142" s="174"/>
      <c r="M142" s="174"/>
      <c r="N142" s="174"/>
      <c r="O142" s="174"/>
      <c r="P142" s="230"/>
      <c r="Q142" s="230"/>
      <c r="R142" s="230"/>
      <c r="S142" s="230"/>
      <c r="T142" s="231"/>
      <c r="U142" s="174"/>
      <c r="V142" s="174"/>
      <c r="W142" s="174"/>
      <c r="X142" s="174"/>
      <c r="Y142" s="232"/>
      <c r="Z142" s="228" t="s">
        <v>612</v>
      </c>
      <c r="AA142" s="229"/>
      <c r="AB142" s="229"/>
      <c r="AE142" s="215"/>
      <c r="AF142" s="216"/>
      <c r="AG142" s="95"/>
      <c r="AH142" s="95"/>
      <c r="AI142" s="95"/>
    </row>
    <row r="143" spans="1:35" s="1" customFormat="1" ht="19.5" customHeight="1" x14ac:dyDescent="0.3">
      <c r="A143" s="409"/>
      <c r="B143" s="396"/>
      <c r="C143" s="332"/>
      <c r="D143" s="225" t="s">
        <v>41</v>
      </c>
      <c r="E143" s="174" t="s">
        <v>168</v>
      </c>
      <c r="F143" s="174">
        <v>2</v>
      </c>
      <c r="G143" s="174" t="s">
        <v>32</v>
      </c>
      <c r="H143" s="174">
        <v>10</v>
      </c>
      <c r="I143" s="234"/>
      <c r="J143" s="174"/>
      <c r="K143" s="174"/>
      <c r="L143" s="174"/>
      <c r="M143" s="174"/>
      <c r="N143" s="174"/>
      <c r="O143" s="174"/>
      <c r="P143" s="230"/>
      <c r="Q143" s="230"/>
      <c r="R143" s="230"/>
      <c r="S143" s="230"/>
      <c r="T143" s="231"/>
      <c r="U143" s="174"/>
      <c r="V143" s="174"/>
      <c r="W143" s="174"/>
      <c r="X143" s="174"/>
      <c r="Y143" s="232"/>
      <c r="Z143" s="228" t="s">
        <v>612</v>
      </c>
      <c r="AA143" s="229"/>
      <c r="AB143" s="229"/>
      <c r="AE143" s="215"/>
      <c r="AF143" s="216"/>
      <c r="AG143" s="95"/>
      <c r="AH143" s="95"/>
      <c r="AI143" s="95"/>
    </row>
    <row r="144" spans="1:35" s="1" customFormat="1" ht="19.5" customHeight="1" x14ac:dyDescent="0.3">
      <c r="A144" s="409"/>
      <c r="B144" s="396"/>
      <c r="C144" s="332"/>
      <c r="D144" s="225" t="s">
        <v>44</v>
      </c>
      <c r="E144" s="176" t="s">
        <v>169</v>
      </c>
      <c r="F144" s="174">
        <v>2</v>
      </c>
      <c r="G144" s="174" t="s">
        <v>32</v>
      </c>
      <c r="H144" s="174">
        <v>9</v>
      </c>
      <c r="I144" s="234"/>
      <c r="J144" s="174"/>
      <c r="K144" s="174"/>
      <c r="L144" s="174"/>
      <c r="M144" s="174"/>
      <c r="N144" s="174"/>
      <c r="O144" s="174"/>
      <c r="P144" s="230"/>
      <c r="Q144" s="230"/>
      <c r="R144" s="230"/>
      <c r="S144" s="230"/>
      <c r="T144" s="231"/>
      <c r="U144" s="174"/>
      <c r="V144" s="174"/>
      <c r="W144" s="174"/>
      <c r="X144" s="174"/>
      <c r="Y144" s="232"/>
      <c r="Z144" s="228" t="s">
        <v>612</v>
      </c>
      <c r="AA144" s="229"/>
      <c r="AB144" s="229"/>
      <c r="AE144" s="215"/>
      <c r="AF144" s="216"/>
      <c r="AG144" s="95"/>
      <c r="AH144" s="95"/>
      <c r="AI144" s="95"/>
    </row>
    <row r="145" spans="1:35" s="1" customFormat="1" ht="19.5" customHeight="1" x14ac:dyDescent="0.3">
      <c r="A145" s="409"/>
      <c r="B145" s="396"/>
      <c r="C145" s="332"/>
      <c r="D145" s="174" t="s">
        <v>43</v>
      </c>
      <c r="E145" s="174" t="s">
        <v>89</v>
      </c>
      <c r="F145" s="174">
        <v>2</v>
      </c>
      <c r="G145" s="174" t="s">
        <v>32</v>
      </c>
      <c r="H145" s="174">
        <v>9</v>
      </c>
      <c r="I145" s="176"/>
      <c r="J145" s="174"/>
      <c r="K145" s="174"/>
      <c r="L145" s="174"/>
      <c r="M145" s="174"/>
      <c r="N145" s="174"/>
      <c r="O145" s="174"/>
      <c r="P145" s="230"/>
      <c r="Q145" s="230"/>
      <c r="R145" s="230"/>
      <c r="S145" s="230"/>
      <c r="T145" s="231"/>
      <c r="U145" s="174"/>
      <c r="V145" s="174"/>
      <c r="W145" s="174"/>
      <c r="X145" s="174"/>
      <c r="Y145" s="232"/>
      <c r="Z145" s="228" t="s">
        <v>612</v>
      </c>
      <c r="AA145" s="229"/>
      <c r="AB145" s="229"/>
      <c r="AE145" s="215"/>
      <c r="AF145" s="216"/>
      <c r="AG145" s="95"/>
      <c r="AH145" s="95"/>
      <c r="AI145" s="95"/>
    </row>
    <row r="146" spans="1:35" s="1" customFormat="1" ht="19.5" customHeight="1" x14ac:dyDescent="0.3">
      <c r="A146" s="409"/>
      <c r="B146" s="396"/>
      <c r="C146" s="332"/>
      <c r="D146" s="174" t="s">
        <v>49</v>
      </c>
      <c r="E146" s="174" t="s">
        <v>92</v>
      </c>
      <c r="F146" s="174">
        <v>2</v>
      </c>
      <c r="G146" s="174" t="s">
        <v>32</v>
      </c>
      <c r="H146" s="174">
        <v>5</v>
      </c>
      <c r="I146" s="176"/>
      <c r="J146" s="174"/>
      <c r="K146" s="174"/>
      <c r="L146" s="174"/>
      <c r="M146" s="174"/>
      <c r="N146" s="174"/>
      <c r="O146" s="174"/>
      <c r="P146" s="230"/>
      <c r="Q146" s="230"/>
      <c r="R146" s="230"/>
      <c r="S146" s="230"/>
      <c r="T146" s="231"/>
      <c r="U146" s="174"/>
      <c r="V146" s="174"/>
      <c r="W146" s="174"/>
      <c r="X146" s="174"/>
      <c r="Y146" s="232"/>
      <c r="Z146" s="228" t="s">
        <v>612</v>
      </c>
      <c r="AA146" s="229"/>
      <c r="AB146" s="229"/>
      <c r="AE146" s="215"/>
      <c r="AF146" s="216"/>
      <c r="AG146" s="95"/>
      <c r="AH146" s="95"/>
      <c r="AI146" s="95"/>
    </row>
    <row r="147" spans="1:35" s="1" customFormat="1" ht="19.5" customHeight="1" x14ac:dyDescent="0.3">
      <c r="A147" s="409"/>
      <c r="B147" s="396"/>
      <c r="C147" s="332"/>
      <c r="D147" s="225" t="s">
        <v>52</v>
      </c>
      <c r="E147" s="176" t="s">
        <v>102</v>
      </c>
      <c r="F147" s="174">
        <v>2</v>
      </c>
      <c r="G147" s="176" t="s">
        <v>32</v>
      </c>
      <c r="H147" s="176">
        <v>30</v>
      </c>
      <c r="I147" s="234"/>
      <c r="J147" s="174"/>
      <c r="K147" s="174"/>
      <c r="L147" s="174"/>
      <c r="M147" s="174"/>
      <c r="N147" s="174"/>
      <c r="O147" s="174"/>
      <c r="P147" s="230"/>
      <c r="Q147" s="230"/>
      <c r="R147" s="230"/>
      <c r="S147" s="230"/>
      <c r="T147" s="231"/>
      <c r="U147" s="174"/>
      <c r="V147" s="174"/>
      <c r="W147" s="174"/>
      <c r="X147" s="174"/>
      <c r="Y147" s="232"/>
      <c r="Z147" s="228" t="s">
        <v>612</v>
      </c>
      <c r="AA147" s="229"/>
      <c r="AB147" s="229"/>
      <c r="AE147" s="215"/>
      <c r="AF147" s="216"/>
      <c r="AG147" s="95"/>
      <c r="AH147" s="95"/>
      <c r="AI147" s="95"/>
    </row>
    <row r="148" spans="1:35" s="1" customFormat="1" ht="19.5" customHeight="1" x14ac:dyDescent="0.3">
      <c r="A148" s="409"/>
      <c r="B148" s="396"/>
      <c r="C148" s="332"/>
      <c r="D148" s="174" t="s">
        <v>45</v>
      </c>
      <c r="E148" s="174" t="s">
        <v>112</v>
      </c>
      <c r="F148" s="174">
        <v>2</v>
      </c>
      <c r="G148" s="174" t="s">
        <v>32</v>
      </c>
      <c r="H148" s="174">
        <v>12</v>
      </c>
      <c r="I148" s="176"/>
      <c r="J148" s="174"/>
      <c r="K148" s="174"/>
      <c r="L148" s="174"/>
      <c r="M148" s="174"/>
      <c r="N148" s="174"/>
      <c r="O148" s="174"/>
      <c r="P148" s="230"/>
      <c r="Q148" s="230"/>
      <c r="R148" s="230"/>
      <c r="S148" s="230"/>
      <c r="T148" s="231"/>
      <c r="U148" s="174"/>
      <c r="V148" s="174"/>
      <c r="W148" s="174"/>
      <c r="X148" s="174"/>
      <c r="Y148" s="232"/>
      <c r="Z148" s="228" t="s">
        <v>612</v>
      </c>
      <c r="AA148" s="229"/>
      <c r="AB148" s="229"/>
      <c r="AE148" s="215"/>
      <c r="AF148" s="216"/>
      <c r="AG148" s="95"/>
      <c r="AH148" s="95"/>
      <c r="AI148" s="95"/>
    </row>
    <row r="149" spans="1:35" s="1" customFormat="1" ht="19.5" customHeight="1" x14ac:dyDescent="0.3">
      <c r="A149" s="409"/>
      <c r="B149" s="396"/>
      <c r="C149" s="332"/>
      <c r="D149" s="176" t="s">
        <v>81</v>
      </c>
      <c r="E149" s="176" t="s">
        <v>283</v>
      </c>
      <c r="F149" s="174">
        <v>2</v>
      </c>
      <c r="G149" s="176" t="s">
        <v>32</v>
      </c>
      <c r="H149" s="174">
        <v>22</v>
      </c>
      <c r="I149" s="176"/>
      <c r="J149" s="174"/>
      <c r="K149" s="174"/>
      <c r="L149" s="174"/>
      <c r="M149" s="174"/>
      <c r="N149" s="174"/>
      <c r="O149" s="174"/>
      <c r="P149" s="230"/>
      <c r="Q149" s="230"/>
      <c r="R149" s="230"/>
      <c r="S149" s="230"/>
      <c r="T149" s="231"/>
      <c r="U149" s="174"/>
      <c r="V149" s="174"/>
      <c r="W149" s="174"/>
      <c r="X149" s="174"/>
      <c r="Y149" s="232"/>
      <c r="Z149" s="228" t="s">
        <v>612</v>
      </c>
      <c r="AA149" s="229"/>
      <c r="AB149" s="229"/>
      <c r="AE149" s="215"/>
      <c r="AF149" s="216"/>
      <c r="AG149" s="95"/>
      <c r="AH149" s="95"/>
      <c r="AI149" s="95"/>
    </row>
    <row r="150" spans="1:35" s="1" customFormat="1" ht="19.5" customHeight="1" x14ac:dyDescent="0.3">
      <c r="A150" s="409"/>
      <c r="B150" s="396"/>
      <c r="C150" s="332"/>
      <c r="D150" s="174" t="s">
        <v>60</v>
      </c>
      <c r="E150" s="174" t="s">
        <v>99</v>
      </c>
      <c r="F150" s="174">
        <v>2</v>
      </c>
      <c r="G150" s="176" t="s">
        <v>32</v>
      </c>
      <c r="H150" s="176">
        <v>14</v>
      </c>
      <c r="I150" s="176"/>
      <c r="J150" s="174"/>
      <c r="K150" s="174"/>
      <c r="L150" s="174"/>
      <c r="M150" s="174"/>
      <c r="N150" s="174"/>
      <c r="O150" s="174"/>
      <c r="P150" s="230"/>
      <c r="Q150" s="230"/>
      <c r="R150" s="230"/>
      <c r="S150" s="230"/>
      <c r="T150" s="231"/>
      <c r="U150" s="174"/>
      <c r="V150" s="174"/>
      <c r="W150" s="174"/>
      <c r="X150" s="174"/>
      <c r="Y150" s="232"/>
      <c r="Z150" s="228" t="s">
        <v>612</v>
      </c>
      <c r="AA150" s="229"/>
      <c r="AB150" s="229"/>
      <c r="AE150" s="215"/>
      <c r="AF150" s="216"/>
      <c r="AG150" s="95"/>
      <c r="AH150" s="95"/>
      <c r="AI150" s="95"/>
    </row>
    <row r="151" spans="1:35" s="1" customFormat="1" ht="19.5" customHeight="1" x14ac:dyDescent="0.3">
      <c r="A151" s="409"/>
      <c r="B151" s="396"/>
      <c r="C151" s="332"/>
      <c r="D151" s="225" t="s">
        <v>114</v>
      </c>
      <c r="E151" s="174" t="s">
        <v>150</v>
      </c>
      <c r="F151" s="174">
        <v>2</v>
      </c>
      <c r="G151" s="176" t="s">
        <v>32</v>
      </c>
      <c r="H151" s="174">
        <v>9</v>
      </c>
      <c r="I151" s="176"/>
      <c r="J151" s="174"/>
      <c r="K151" s="174"/>
      <c r="L151" s="174"/>
      <c r="M151" s="174"/>
      <c r="N151" s="174"/>
      <c r="O151" s="174"/>
      <c r="P151" s="230"/>
      <c r="Q151" s="230"/>
      <c r="R151" s="230"/>
      <c r="S151" s="230"/>
      <c r="T151" s="231"/>
      <c r="U151" s="174"/>
      <c r="V151" s="174"/>
      <c r="W151" s="174"/>
      <c r="X151" s="174"/>
      <c r="Y151" s="232"/>
      <c r="Z151" s="228" t="s">
        <v>612</v>
      </c>
      <c r="AA151" s="229"/>
      <c r="AB151" s="229"/>
      <c r="AE151" s="215"/>
      <c r="AF151" s="216"/>
      <c r="AG151" s="95"/>
      <c r="AH151" s="95"/>
      <c r="AI151" s="95"/>
    </row>
    <row r="152" spans="1:35" s="1" customFormat="1" ht="19.5" customHeight="1" x14ac:dyDescent="0.3">
      <c r="A152" s="409"/>
      <c r="B152" s="396"/>
      <c r="C152" s="332"/>
      <c r="D152" s="225" t="s">
        <v>46</v>
      </c>
      <c r="E152" s="176" t="s">
        <v>85</v>
      </c>
      <c r="F152" s="174">
        <v>2</v>
      </c>
      <c r="G152" s="176" t="s">
        <v>32</v>
      </c>
      <c r="H152" s="176">
        <v>5</v>
      </c>
      <c r="I152" s="176"/>
      <c r="J152" s="174"/>
      <c r="K152" s="174"/>
      <c r="L152" s="174"/>
      <c r="M152" s="174"/>
      <c r="N152" s="174"/>
      <c r="O152" s="174"/>
      <c r="P152" s="230"/>
      <c r="Q152" s="230"/>
      <c r="R152" s="230"/>
      <c r="S152" s="230"/>
      <c r="T152" s="231"/>
      <c r="U152" s="174"/>
      <c r="V152" s="174"/>
      <c r="W152" s="174"/>
      <c r="X152" s="174"/>
      <c r="Y152" s="232"/>
      <c r="Z152" s="228" t="s">
        <v>612</v>
      </c>
      <c r="AA152" s="229"/>
      <c r="AB152" s="229"/>
      <c r="AE152" s="215"/>
      <c r="AF152" s="216"/>
      <c r="AG152" s="95"/>
      <c r="AH152" s="95"/>
      <c r="AI152" s="95"/>
    </row>
    <row r="153" spans="1:35" s="1" customFormat="1" ht="19.5" customHeight="1" x14ac:dyDescent="0.3">
      <c r="A153" s="409"/>
      <c r="B153" s="396"/>
      <c r="C153" s="332"/>
      <c r="D153" s="174" t="s">
        <v>51</v>
      </c>
      <c r="E153" s="174" t="s">
        <v>101</v>
      </c>
      <c r="F153" s="174">
        <v>2</v>
      </c>
      <c r="G153" s="176" t="s">
        <v>32</v>
      </c>
      <c r="H153" s="174">
        <v>10</v>
      </c>
      <c r="I153" s="176"/>
      <c r="J153" s="174">
        <v>38</v>
      </c>
      <c r="K153" s="174"/>
      <c r="L153" s="174"/>
      <c r="M153" s="174"/>
      <c r="N153" s="174"/>
      <c r="O153" s="174">
        <v>7</v>
      </c>
      <c r="P153" s="174"/>
      <c r="Q153" s="230"/>
      <c r="R153" s="230"/>
      <c r="S153" s="230"/>
      <c r="T153" s="231"/>
      <c r="U153" s="174"/>
      <c r="V153" s="174"/>
      <c r="W153" s="174"/>
      <c r="X153" s="174"/>
      <c r="Y153" s="232">
        <v>2</v>
      </c>
      <c r="Z153" s="228" t="s">
        <v>612</v>
      </c>
      <c r="AA153" s="229"/>
      <c r="AB153" s="229"/>
      <c r="AE153" s="215" t="s">
        <v>545</v>
      </c>
      <c r="AF153" s="217">
        <v>16.5</v>
      </c>
      <c r="AG153" s="95"/>
      <c r="AH153" s="218">
        <v>7.5</v>
      </c>
      <c r="AI153" s="95"/>
    </row>
    <row r="154" spans="1:35" s="1" customFormat="1" ht="19.5" customHeight="1" x14ac:dyDescent="0.25">
      <c r="A154" s="409"/>
      <c r="B154" s="396"/>
      <c r="C154" s="332"/>
      <c r="D154" s="225" t="s">
        <v>41</v>
      </c>
      <c r="E154" s="174" t="s">
        <v>168</v>
      </c>
      <c r="F154" s="174">
        <v>2</v>
      </c>
      <c r="G154" s="174" t="s">
        <v>32</v>
      </c>
      <c r="H154" s="174">
        <v>10</v>
      </c>
      <c r="I154" s="234"/>
      <c r="J154" s="174"/>
      <c r="K154" s="174"/>
      <c r="L154" s="174"/>
      <c r="M154" s="174"/>
      <c r="N154" s="174"/>
      <c r="O154" s="174"/>
      <c r="P154" s="174"/>
      <c r="Q154" s="174"/>
      <c r="R154" s="174"/>
      <c r="S154" s="174"/>
      <c r="T154" s="174"/>
      <c r="U154" s="174"/>
      <c r="V154" s="174"/>
      <c r="W154" s="174"/>
      <c r="X154" s="174"/>
      <c r="Y154" s="232">
        <v>0</v>
      </c>
      <c r="Z154" s="228" t="s">
        <v>612</v>
      </c>
      <c r="AA154" s="229"/>
      <c r="AB154" s="229"/>
      <c r="AE154" s="215" t="s">
        <v>546</v>
      </c>
      <c r="AF154" s="219">
        <v>15</v>
      </c>
      <c r="AG154" s="95"/>
      <c r="AH154" s="95">
        <v>9</v>
      </c>
      <c r="AI154" s="95"/>
    </row>
    <row r="155" spans="1:35" s="1" customFormat="1" ht="19.5" customHeight="1" x14ac:dyDescent="0.25">
      <c r="A155" s="409"/>
      <c r="B155" s="396"/>
      <c r="C155" s="332"/>
      <c r="D155" s="225" t="s">
        <v>44</v>
      </c>
      <c r="E155" s="176" t="s">
        <v>169</v>
      </c>
      <c r="F155" s="174">
        <v>2</v>
      </c>
      <c r="G155" s="174" t="s">
        <v>32</v>
      </c>
      <c r="H155" s="174">
        <v>9</v>
      </c>
      <c r="I155" s="234"/>
      <c r="J155" s="174"/>
      <c r="K155" s="174"/>
      <c r="L155" s="174"/>
      <c r="M155" s="174"/>
      <c r="N155" s="174"/>
      <c r="O155" s="174"/>
      <c r="P155" s="174"/>
      <c r="Q155" s="174"/>
      <c r="R155" s="174"/>
      <c r="S155" s="174"/>
      <c r="T155" s="174"/>
      <c r="U155" s="174"/>
      <c r="V155" s="174"/>
      <c r="W155" s="174"/>
      <c r="X155" s="174"/>
      <c r="Y155" s="232">
        <v>0</v>
      </c>
      <c r="Z155" s="228" t="s">
        <v>612</v>
      </c>
      <c r="AA155" s="229"/>
      <c r="AB155" s="229"/>
      <c r="AE155" s="215"/>
      <c r="AF155" s="215"/>
      <c r="AG155" s="95"/>
      <c r="AH155" s="95"/>
      <c r="AI155" s="95"/>
    </row>
    <row r="156" spans="1:35" s="1" customFormat="1" ht="19.5" customHeight="1" x14ac:dyDescent="0.3">
      <c r="A156" s="409"/>
      <c r="B156" s="396"/>
      <c r="C156" s="332"/>
      <c r="D156" s="174" t="s">
        <v>43</v>
      </c>
      <c r="E156" s="174" t="s">
        <v>89</v>
      </c>
      <c r="F156" s="174">
        <v>2</v>
      </c>
      <c r="G156" s="174" t="s">
        <v>32</v>
      </c>
      <c r="H156" s="174">
        <v>9</v>
      </c>
      <c r="I156" s="176"/>
      <c r="J156" s="174"/>
      <c r="K156" s="174"/>
      <c r="L156" s="174"/>
      <c r="M156" s="174"/>
      <c r="N156" s="230"/>
      <c r="O156" s="230"/>
      <c r="P156" s="230"/>
      <c r="Q156" s="230"/>
      <c r="R156" s="230"/>
      <c r="S156" s="230"/>
      <c r="T156" s="231"/>
      <c r="U156" s="174"/>
      <c r="V156" s="174"/>
      <c r="W156" s="174"/>
      <c r="X156" s="174"/>
      <c r="Y156" s="232">
        <v>0</v>
      </c>
      <c r="Z156" s="228" t="s">
        <v>612</v>
      </c>
      <c r="AA156" s="229"/>
      <c r="AB156" s="229"/>
      <c r="AE156" s="184"/>
      <c r="AF156" s="184"/>
    </row>
    <row r="157" spans="1:35" s="1" customFormat="1" ht="19.5" customHeight="1" x14ac:dyDescent="0.3">
      <c r="A157" s="409"/>
      <c r="B157" s="396"/>
      <c r="C157" s="332"/>
      <c r="D157" s="174" t="s">
        <v>49</v>
      </c>
      <c r="E157" s="174" t="s">
        <v>92</v>
      </c>
      <c r="F157" s="174">
        <v>2</v>
      </c>
      <c r="G157" s="174" t="s">
        <v>32</v>
      </c>
      <c r="H157" s="174">
        <v>5</v>
      </c>
      <c r="I157" s="176"/>
      <c r="J157" s="174"/>
      <c r="K157" s="174"/>
      <c r="L157" s="174"/>
      <c r="M157" s="174"/>
      <c r="N157" s="230"/>
      <c r="O157" s="230"/>
      <c r="P157" s="230"/>
      <c r="Q157" s="230"/>
      <c r="R157" s="230"/>
      <c r="S157" s="230"/>
      <c r="T157" s="231"/>
      <c r="U157" s="174"/>
      <c r="V157" s="174"/>
      <c r="W157" s="174"/>
      <c r="X157" s="174"/>
      <c r="Y157" s="232">
        <v>0</v>
      </c>
      <c r="Z157" s="228" t="s">
        <v>612</v>
      </c>
      <c r="AA157" s="229"/>
      <c r="AB157" s="229"/>
      <c r="AE157" s="184"/>
      <c r="AF157" s="184"/>
    </row>
    <row r="158" spans="1:35" s="1" customFormat="1" ht="19.5" customHeight="1" x14ac:dyDescent="0.3">
      <c r="A158" s="409"/>
      <c r="B158" s="396"/>
      <c r="C158" s="332"/>
      <c r="D158" s="225" t="s">
        <v>52</v>
      </c>
      <c r="E158" s="176" t="s">
        <v>102</v>
      </c>
      <c r="F158" s="174">
        <v>2</v>
      </c>
      <c r="G158" s="176" t="s">
        <v>32</v>
      </c>
      <c r="H158" s="176">
        <v>30</v>
      </c>
      <c r="I158" s="234"/>
      <c r="J158" s="174">
        <v>38</v>
      </c>
      <c r="K158" s="174"/>
      <c r="L158" s="174"/>
      <c r="M158" s="174"/>
      <c r="N158" s="174"/>
      <c r="O158" s="174">
        <v>7</v>
      </c>
      <c r="P158" s="174"/>
      <c r="Q158" s="230"/>
      <c r="R158" s="230"/>
      <c r="S158" s="230"/>
      <c r="T158" s="231"/>
      <c r="U158" s="174"/>
      <c r="V158" s="174"/>
      <c r="W158" s="174"/>
      <c r="X158" s="174"/>
      <c r="Y158" s="232">
        <v>1.5</v>
      </c>
      <c r="Z158" s="228" t="s">
        <v>614</v>
      </c>
      <c r="AA158" s="229"/>
      <c r="AB158" s="229"/>
      <c r="AE158" s="184"/>
      <c r="AF158" s="184">
        <f>AF141+AF153+AF154+AH154+AH141+AH153</f>
        <v>63</v>
      </c>
    </row>
    <row r="159" spans="1:35" s="1" customFormat="1" ht="19.5" customHeight="1" x14ac:dyDescent="0.3">
      <c r="A159" s="409"/>
      <c r="B159" s="396"/>
      <c r="C159" s="332"/>
      <c r="D159" s="174" t="s">
        <v>45</v>
      </c>
      <c r="E159" s="174" t="s">
        <v>112</v>
      </c>
      <c r="F159" s="174">
        <v>2</v>
      </c>
      <c r="G159" s="174" t="s">
        <v>32</v>
      </c>
      <c r="H159" s="174">
        <v>12</v>
      </c>
      <c r="I159" s="176"/>
      <c r="J159" s="174"/>
      <c r="K159" s="174"/>
      <c r="L159" s="174"/>
      <c r="M159" s="174"/>
      <c r="N159" s="230"/>
      <c r="O159" s="230"/>
      <c r="P159" s="230"/>
      <c r="Q159" s="230"/>
      <c r="R159" s="230"/>
      <c r="S159" s="230"/>
      <c r="T159" s="231"/>
      <c r="U159" s="174"/>
      <c r="V159" s="174"/>
      <c r="W159" s="174"/>
      <c r="X159" s="174"/>
      <c r="Y159" s="232">
        <v>0</v>
      </c>
      <c r="Z159" s="228" t="s">
        <v>614</v>
      </c>
      <c r="AA159" s="229"/>
      <c r="AB159" s="229"/>
      <c r="AE159" s="184"/>
      <c r="AF159" s="184"/>
    </row>
    <row r="160" spans="1:35" s="1" customFormat="1" ht="19.5" customHeight="1" x14ac:dyDescent="0.3">
      <c r="A160" s="409"/>
      <c r="B160" s="396"/>
      <c r="C160" s="332"/>
      <c r="D160" s="176" t="s">
        <v>81</v>
      </c>
      <c r="E160" s="176" t="s">
        <v>283</v>
      </c>
      <c r="F160" s="174">
        <v>2</v>
      </c>
      <c r="G160" s="176" t="s">
        <v>32</v>
      </c>
      <c r="H160" s="174">
        <v>22</v>
      </c>
      <c r="I160" s="176"/>
      <c r="J160" s="174">
        <v>38</v>
      </c>
      <c r="K160" s="174"/>
      <c r="L160" s="174"/>
      <c r="M160" s="174"/>
      <c r="N160" s="174"/>
      <c r="O160" s="174">
        <v>7</v>
      </c>
      <c r="P160" s="174"/>
      <c r="Q160" s="230"/>
      <c r="R160" s="230"/>
      <c r="S160" s="230"/>
      <c r="T160" s="231"/>
      <c r="U160" s="174"/>
      <c r="V160" s="174"/>
      <c r="W160" s="174"/>
      <c r="X160" s="174"/>
      <c r="Y160" s="232">
        <v>1.5</v>
      </c>
      <c r="Z160" s="228" t="s">
        <v>612</v>
      </c>
      <c r="AA160" s="229"/>
      <c r="AB160" s="229"/>
      <c r="AE160" s="184"/>
      <c r="AF160" s="184"/>
    </row>
    <row r="161" spans="1:32" s="1" customFormat="1" ht="19.5" customHeight="1" x14ac:dyDescent="0.3">
      <c r="A161" s="409"/>
      <c r="B161" s="396"/>
      <c r="C161" s="332"/>
      <c r="D161" s="174" t="s">
        <v>60</v>
      </c>
      <c r="E161" s="174" t="s">
        <v>99</v>
      </c>
      <c r="F161" s="174">
        <v>2</v>
      </c>
      <c r="G161" s="176" t="s">
        <v>32</v>
      </c>
      <c r="H161" s="176">
        <v>14</v>
      </c>
      <c r="I161" s="176"/>
      <c r="J161" s="174"/>
      <c r="K161" s="174"/>
      <c r="L161" s="174"/>
      <c r="M161" s="174"/>
      <c r="N161" s="230"/>
      <c r="O161" s="230"/>
      <c r="P161" s="230"/>
      <c r="Q161" s="230"/>
      <c r="R161" s="230"/>
      <c r="S161" s="230"/>
      <c r="T161" s="231"/>
      <c r="U161" s="174"/>
      <c r="V161" s="174"/>
      <c r="W161" s="174"/>
      <c r="X161" s="174"/>
      <c r="Y161" s="232">
        <v>0</v>
      </c>
      <c r="Z161" s="228" t="s">
        <v>612</v>
      </c>
      <c r="AA161" s="229"/>
      <c r="AB161" s="229"/>
      <c r="AE161" s="184"/>
      <c r="AF161" s="184"/>
    </row>
    <row r="162" spans="1:32" s="1" customFormat="1" ht="19.5" customHeight="1" x14ac:dyDescent="0.3">
      <c r="A162" s="409"/>
      <c r="B162" s="396"/>
      <c r="C162" s="332"/>
      <c r="D162" s="225" t="s">
        <v>114</v>
      </c>
      <c r="E162" s="174" t="s">
        <v>150</v>
      </c>
      <c r="F162" s="174">
        <v>2</v>
      </c>
      <c r="G162" s="176" t="s">
        <v>32</v>
      </c>
      <c r="H162" s="174">
        <v>9</v>
      </c>
      <c r="I162" s="176"/>
      <c r="J162" s="174"/>
      <c r="K162" s="174"/>
      <c r="L162" s="174"/>
      <c r="M162" s="174"/>
      <c r="N162" s="230"/>
      <c r="O162" s="174"/>
      <c r="P162" s="230"/>
      <c r="Q162" s="230"/>
      <c r="R162" s="230"/>
      <c r="S162" s="230"/>
      <c r="T162" s="231"/>
      <c r="U162" s="174"/>
      <c r="V162" s="174"/>
      <c r="W162" s="174"/>
      <c r="X162" s="174"/>
      <c r="Y162" s="232">
        <v>0</v>
      </c>
      <c r="Z162" s="228" t="s">
        <v>612</v>
      </c>
      <c r="AA162" s="229"/>
      <c r="AB162" s="229"/>
      <c r="AE162" s="184"/>
      <c r="AF162" s="184"/>
    </row>
    <row r="163" spans="1:32" s="1" customFormat="1" ht="19.5" customHeight="1" x14ac:dyDescent="0.3">
      <c r="A163" s="409"/>
      <c r="B163" s="397"/>
      <c r="C163" s="333"/>
      <c r="D163" s="225" t="s">
        <v>46</v>
      </c>
      <c r="E163" s="176" t="s">
        <v>85</v>
      </c>
      <c r="F163" s="174">
        <v>2</v>
      </c>
      <c r="G163" s="176" t="s">
        <v>32</v>
      </c>
      <c r="H163" s="176">
        <v>5</v>
      </c>
      <c r="I163" s="176"/>
      <c r="J163" s="174"/>
      <c r="K163" s="174"/>
      <c r="L163" s="174"/>
      <c r="M163" s="174"/>
      <c r="N163" s="230"/>
      <c r="O163" s="174"/>
      <c r="P163" s="230"/>
      <c r="Q163" s="230"/>
      <c r="R163" s="230"/>
      <c r="S163" s="230"/>
      <c r="T163" s="231"/>
      <c r="U163" s="174"/>
      <c r="V163" s="174"/>
      <c r="W163" s="174"/>
      <c r="X163" s="174"/>
      <c r="Y163" s="232">
        <v>0</v>
      </c>
      <c r="Z163" s="228" t="s">
        <v>612</v>
      </c>
      <c r="AA163" s="229"/>
      <c r="AB163" s="229"/>
      <c r="AE163" s="184"/>
      <c r="AF163" s="184"/>
    </row>
    <row r="164" spans="1:32" s="1" customFormat="1" ht="19.5" customHeight="1" x14ac:dyDescent="0.3">
      <c r="A164" s="201"/>
      <c r="B164" s="402" t="s">
        <v>677</v>
      </c>
      <c r="C164" s="334"/>
      <c r="D164" s="206" t="s">
        <v>49</v>
      </c>
      <c r="E164" s="206" t="s">
        <v>291</v>
      </c>
      <c r="F164" s="206">
        <v>2</v>
      </c>
      <c r="G164" s="206" t="s">
        <v>35</v>
      </c>
      <c r="H164" s="197">
        <v>6</v>
      </c>
      <c r="I164" s="197">
        <v>30</v>
      </c>
      <c r="J164" s="206">
        <v>15</v>
      </c>
      <c r="K164" s="206"/>
      <c r="L164" s="206"/>
      <c r="M164" s="206">
        <v>4</v>
      </c>
      <c r="N164" s="206"/>
      <c r="O164" s="206">
        <v>1.5</v>
      </c>
      <c r="P164" s="206"/>
      <c r="Q164" s="206"/>
      <c r="R164" s="206"/>
      <c r="S164" s="206"/>
      <c r="T164" s="206"/>
      <c r="U164" s="206"/>
      <c r="V164" s="206"/>
      <c r="W164" s="197"/>
      <c r="X164" s="35"/>
      <c r="Y164" s="57">
        <v>0.98</v>
      </c>
      <c r="Z164" s="184" t="s">
        <v>615</v>
      </c>
      <c r="AE164" s="184"/>
      <c r="AF164" s="184"/>
    </row>
    <row r="165" spans="1:32" s="1" customFormat="1" ht="19.5" customHeight="1" x14ac:dyDescent="0.3">
      <c r="A165" s="201"/>
      <c r="B165" s="403"/>
      <c r="C165" s="335"/>
      <c r="D165" s="206" t="s">
        <v>62</v>
      </c>
      <c r="E165" s="206" t="s">
        <v>292</v>
      </c>
      <c r="F165" s="206">
        <v>2</v>
      </c>
      <c r="G165" s="197" t="s">
        <v>35</v>
      </c>
      <c r="H165" s="197">
        <v>9</v>
      </c>
      <c r="I165" s="197"/>
      <c r="J165" s="206"/>
      <c r="K165" s="206"/>
      <c r="L165" s="206"/>
      <c r="M165" s="206"/>
      <c r="N165" s="34"/>
      <c r="O165" s="206"/>
      <c r="P165" s="34"/>
      <c r="Q165" s="34"/>
      <c r="R165" s="34"/>
      <c r="S165" s="34"/>
      <c r="T165" s="35"/>
      <c r="U165" s="206"/>
      <c r="V165" s="206"/>
      <c r="W165" s="206"/>
      <c r="X165" s="206"/>
      <c r="Y165" s="36"/>
      <c r="Z165" s="184" t="s">
        <v>615</v>
      </c>
      <c r="AE165" s="184"/>
      <c r="AF165" s="184"/>
    </row>
    <row r="166" spans="1:32" s="1" customFormat="1" ht="19.5" customHeight="1" x14ac:dyDescent="0.3">
      <c r="A166" s="201"/>
      <c r="B166" s="403"/>
      <c r="C166" s="335"/>
      <c r="D166" s="197" t="s">
        <v>210</v>
      </c>
      <c r="E166" s="197" t="s">
        <v>293</v>
      </c>
      <c r="F166" s="206">
        <v>2</v>
      </c>
      <c r="G166" s="197" t="s">
        <v>35</v>
      </c>
      <c r="H166" s="197">
        <v>6</v>
      </c>
      <c r="I166" s="197"/>
      <c r="J166" s="206"/>
      <c r="K166" s="206"/>
      <c r="L166" s="206"/>
      <c r="M166" s="206"/>
      <c r="N166" s="34"/>
      <c r="O166" s="206"/>
      <c r="P166" s="34"/>
      <c r="Q166" s="34"/>
      <c r="R166" s="34"/>
      <c r="S166" s="34"/>
      <c r="T166" s="35"/>
      <c r="U166" s="206"/>
      <c r="V166" s="206"/>
      <c r="W166" s="206"/>
      <c r="X166" s="206"/>
      <c r="Y166" s="36"/>
      <c r="Z166" s="184" t="s">
        <v>615</v>
      </c>
      <c r="AE166" s="184"/>
      <c r="AF166" s="184"/>
    </row>
    <row r="167" spans="1:32" s="1" customFormat="1" ht="19.5" customHeight="1" x14ac:dyDescent="0.3">
      <c r="A167" s="201"/>
      <c r="B167" s="403"/>
      <c r="C167" s="335"/>
      <c r="D167" s="93" t="s">
        <v>41</v>
      </c>
      <c r="E167" s="206" t="s">
        <v>318</v>
      </c>
      <c r="F167" s="206">
        <v>2</v>
      </c>
      <c r="G167" s="206" t="s">
        <v>35</v>
      </c>
      <c r="H167" s="197">
        <v>1</v>
      </c>
      <c r="I167" s="197"/>
      <c r="J167" s="206"/>
      <c r="K167" s="206"/>
      <c r="L167" s="206"/>
      <c r="M167" s="206"/>
      <c r="N167" s="34"/>
      <c r="O167" s="206"/>
      <c r="P167" s="34"/>
      <c r="Q167" s="34"/>
      <c r="R167" s="34"/>
      <c r="S167" s="34"/>
      <c r="T167" s="35"/>
      <c r="U167" s="206"/>
      <c r="V167" s="206"/>
      <c r="W167" s="206"/>
      <c r="X167" s="206"/>
      <c r="Y167" s="36"/>
      <c r="Z167" s="184" t="s">
        <v>615</v>
      </c>
      <c r="AE167" s="184"/>
      <c r="AF167" s="184"/>
    </row>
    <row r="168" spans="1:32" s="1" customFormat="1" ht="19.5" customHeight="1" x14ac:dyDescent="0.3">
      <c r="A168" s="201"/>
      <c r="B168" s="403"/>
      <c r="C168" s="335"/>
      <c r="D168" s="206" t="s">
        <v>51</v>
      </c>
      <c r="E168" s="206" t="s">
        <v>299</v>
      </c>
      <c r="F168" s="206">
        <v>2</v>
      </c>
      <c r="G168" s="197" t="s">
        <v>35</v>
      </c>
      <c r="H168" s="197">
        <v>3</v>
      </c>
      <c r="I168" s="197"/>
      <c r="J168" s="206"/>
      <c r="K168" s="206"/>
      <c r="L168" s="206"/>
      <c r="M168" s="206"/>
      <c r="N168" s="34"/>
      <c r="O168" s="206"/>
      <c r="P168" s="34"/>
      <c r="Q168" s="34"/>
      <c r="R168" s="34"/>
      <c r="S168" s="34"/>
      <c r="T168" s="35"/>
      <c r="U168" s="206"/>
      <c r="V168" s="206"/>
      <c r="W168" s="206"/>
      <c r="X168" s="206"/>
      <c r="Y168" s="36"/>
      <c r="Z168" s="184" t="s">
        <v>615</v>
      </c>
      <c r="AE168" s="184"/>
      <c r="AF168" s="184"/>
    </row>
    <row r="169" spans="1:32" s="1" customFormat="1" ht="19.5" customHeight="1" x14ac:dyDescent="0.3">
      <c r="A169" s="201"/>
      <c r="B169" s="403"/>
      <c r="C169" s="335"/>
      <c r="D169" s="206" t="s">
        <v>170</v>
      </c>
      <c r="E169" s="206" t="s">
        <v>294</v>
      </c>
      <c r="F169" s="206">
        <v>2</v>
      </c>
      <c r="G169" s="206" t="s">
        <v>35</v>
      </c>
      <c r="H169" s="197">
        <v>11</v>
      </c>
      <c r="I169" s="197"/>
      <c r="J169" s="206">
        <v>15</v>
      </c>
      <c r="K169" s="206"/>
      <c r="L169" s="206"/>
      <c r="M169" s="206"/>
      <c r="N169" s="34"/>
      <c r="O169" s="34">
        <v>1.5</v>
      </c>
      <c r="P169" s="34"/>
      <c r="Q169" s="34"/>
      <c r="R169" s="34"/>
      <c r="S169" s="34"/>
      <c r="T169" s="35"/>
      <c r="U169" s="206"/>
      <c r="V169" s="206"/>
      <c r="W169" s="206"/>
      <c r="X169" s="206"/>
      <c r="Y169" s="57">
        <v>0.31</v>
      </c>
      <c r="Z169" s="184" t="s">
        <v>615</v>
      </c>
      <c r="AE169" s="184"/>
      <c r="AF169" s="184"/>
    </row>
    <row r="170" spans="1:32" s="1" customFormat="1" ht="19.5" customHeight="1" x14ac:dyDescent="0.3">
      <c r="A170" s="201"/>
      <c r="B170" s="403"/>
      <c r="C170" s="335"/>
      <c r="D170" s="206" t="s">
        <v>61</v>
      </c>
      <c r="E170" s="206" t="s">
        <v>298</v>
      </c>
      <c r="F170" s="206">
        <v>2</v>
      </c>
      <c r="G170" s="197" t="s">
        <v>35</v>
      </c>
      <c r="H170" s="197">
        <v>6</v>
      </c>
      <c r="I170" s="197"/>
      <c r="J170" s="206"/>
      <c r="K170" s="206"/>
      <c r="L170" s="206"/>
      <c r="M170" s="206"/>
      <c r="N170" s="34"/>
      <c r="O170" s="206"/>
      <c r="P170" s="34"/>
      <c r="Q170" s="34"/>
      <c r="R170" s="34"/>
      <c r="S170" s="34"/>
      <c r="T170" s="35"/>
      <c r="U170" s="206"/>
      <c r="V170" s="206"/>
      <c r="W170" s="206"/>
      <c r="X170" s="206"/>
      <c r="Y170" s="36"/>
      <c r="Z170" s="184" t="s">
        <v>615</v>
      </c>
      <c r="AE170" s="184"/>
      <c r="AF170" s="184"/>
    </row>
    <row r="171" spans="1:32" s="1" customFormat="1" ht="19.5" customHeight="1" x14ac:dyDescent="0.3">
      <c r="A171" s="201"/>
      <c r="B171" s="403"/>
      <c r="C171" s="335"/>
      <c r="D171" s="93" t="s">
        <v>44</v>
      </c>
      <c r="E171" s="197" t="s">
        <v>297</v>
      </c>
      <c r="F171" s="206">
        <v>2</v>
      </c>
      <c r="G171" s="197" t="s">
        <v>35</v>
      </c>
      <c r="H171" s="197">
        <v>4</v>
      </c>
      <c r="I171" s="197"/>
      <c r="J171" s="206"/>
      <c r="K171" s="206"/>
      <c r="L171" s="206"/>
      <c r="M171" s="206"/>
      <c r="N171" s="34"/>
      <c r="O171" s="206"/>
      <c r="P171" s="34"/>
      <c r="Q171" s="34"/>
      <c r="R171" s="34"/>
      <c r="S171" s="34"/>
      <c r="T171" s="35"/>
      <c r="U171" s="206"/>
      <c r="V171" s="206"/>
      <c r="W171" s="206"/>
      <c r="X171" s="206"/>
      <c r="Y171" s="36"/>
      <c r="Z171" s="184" t="s">
        <v>615</v>
      </c>
      <c r="AE171" s="184"/>
      <c r="AF171" s="184"/>
    </row>
    <row r="172" spans="1:32" s="1" customFormat="1" ht="19.5" customHeight="1" x14ac:dyDescent="0.3">
      <c r="A172" s="201"/>
      <c r="B172" s="403"/>
      <c r="C172" s="335"/>
      <c r="D172" s="93" t="s">
        <v>43</v>
      </c>
      <c r="E172" s="197" t="s">
        <v>322</v>
      </c>
      <c r="F172" s="206">
        <v>2</v>
      </c>
      <c r="G172" s="197" t="s">
        <v>35</v>
      </c>
      <c r="H172" s="197">
        <v>5</v>
      </c>
      <c r="I172" s="197"/>
      <c r="J172" s="206"/>
      <c r="K172" s="206"/>
      <c r="L172" s="206"/>
      <c r="M172" s="206"/>
      <c r="N172" s="34"/>
      <c r="O172" s="206"/>
      <c r="P172" s="34"/>
      <c r="Q172" s="34"/>
      <c r="R172" s="34"/>
      <c r="S172" s="34"/>
      <c r="T172" s="35"/>
      <c r="U172" s="206"/>
      <c r="V172" s="206"/>
      <c r="W172" s="206"/>
      <c r="X172" s="206"/>
      <c r="Y172" s="36"/>
      <c r="Z172" s="184" t="s">
        <v>615</v>
      </c>
      <c r="AE172" s="184"/>
      <c r="AF172" s="184"/>
    </row>
    <row r="173" spans="1:32" s="1" customFormat="1" ht="19.5" customHeight="1" x14ac:dyDescent="0.3">
      <c r="A173" s="201"/>
      <c r="B173" s="403"/>
      <c r="C173" s="335"/>
      <c r="D173" s="197" t="s">
        <v>60</v>
      </c>
      <c r="E173" s="197" t="s">
        <v>295</v>
      </c>
      <c r="F173" s="206">
        <v>2</v>
      </c>
      <c r="G173" s="206" t="s">
        <v>35</v>
      </c>
      <c r="H173" s="197">
        <v>13</v>
      </c>
      <c r="I173" s="197"/>
      <c r="J173" s="206">
        <v>15</v>
      </c>
      <c r="K173" s="206"/>
      <c r="L173" s="206"/>
      <c r="M173" s="206"/>
      <c r="N173" s="34"/>
      <c r="O173" s="34">
        <v>1.5</v>
      </c>
      <c r="P173" s="34"/>
      <c r="Q173" s="34"/>
      <c r="R173" s="34"/>
      <c r="S173" s="34"/>
      <c r="T173" s="35"/>
      <c r="U173" s="206"/>
      <c r="V173" s="206"/>
      <c r="W173" s="206"/>
      <c r="X173" s="206"/>
      <c r="Y173" s="57">
        <v>0.31</v>
      </c>
      <c r="Z173" s="184" t="s">
        <v>615</v>
      </c>
      <c r="AE173" s="184"/>
      <c r="AF173" s="184"/>
    </row>
    <row r="174" spans="1:32" s="1" customFormat="1" ht="19.5" customHeight="1" x14ac:dyDescent="0.3">
      <c r="A174" s="201"/>
      <c r="B174" s="403"/>
      <c r="C174" s="335"/>
      <c r="D174" s="93" t="s">
        <v>114</v>
      </c>
      <c r="E174" s="206" t="s">
        <v>296</v>
      </c>
      <c r="F174" s="206">
        <v>2</v>
      </c>
      <c r="G174" s="197" t="s">
        <v>35</v>
      </c>
      <c r="H174" s="197">
        <v>6</v>
      </c>
      <c r="I174" s="197"/>
      <c r="J174" s="206"/>
      <c r="K174" s="206"/>
      <c r="L174" s="206"/>
      <c r="M174" s="206"/>
      <c r="N174" s="34"/>
      <c r="O174" s="206"/>
      <c r="P174" s="34"/>
      <c r="Q174" s="34"/>
      <c r="R174" s="34"/>
      <c r="S174" s="34"/>
      <c r="T174" s="35"/>
      <c r="U174" s="206"/>
      <c r="V174" s="206"/>
      <c r="W174" s="206"/>
      <c r="X174" s="206"/>
      <c r="Y174" s="36"/>
      <c r="Z174" s="184" t="s">
        <v>615</v>
      </c>
      <c r="AE174" s="184"/>
      <c r="AF174" s="184"/>
    </row>
    <row r="175" spans="1:32" s="1" customFormat="1" ht="19.5" customHeight="1" x14ac:dyDescent="0.3">
      <c r="A175" s="201"/>
      <c r="B175" s="403"/>
      <c r="C175" s="335"/>
      <c r="D175" s="93" t="s">
        <v>46</v>
      </c>
      <c r="E175" s="197" t="s">
        <v>301</v>
      </c>
      <c r="F175" s="206">
        <v>2</v>
      </c>
      <c r="G175" s="197" t="s">
        <v>35</v>
      </c>
      <c r="H175" s="197">
        <v>7</v>
      </c>
      <c r="I175" s="197"/>
      <c r="J175" s="206"/>
      <c r="K175" s="206"/>
      <c r="L175" s="206"/>
      <c r="M175" s="206"/>
      <c r="N175" s="34"/>
      <c r="O175" s="206"/>
      <c r="P175" s="34"/>
      <c r="Q175" s="34"/>
      <c r="R175" s="34"/>
      <c r="S175" s="34"/>
      <c r="T175" s="35"/>
      <c r="U175" s="206"/>
      <c r="V175" s="206"/>
      <c r="W175" s="206"/>
      <c r="X175" s="206"/>
      <c r="Y175" s="36"/>
      <c r="Z175" s="184" t="s">
        <v>615</v>
      </c>
      <c r="AE175" s="184"/>
      <c r="AF175" s="184"/>
    </row>
    <row r="176" spans="1:32" s="1" customFormat="1" ht="19.5" customHeight="1" x14ac:dyDescent="0.3">
      <c r="A176" s="201"/>
      <c r="B176" s="403"/>
      <c r="C176" s="335"/>
      <c r="D176" s="197" t="s">
        <v>81</v>
      </c>
      <c r="E176" s="197" t="s">
        <v>304</v>
      </c>
      <c r="F176" s="206">
        <v>2</v>
      </c>
      <c r="G176" s="197" t="s">
        <v>35</v>
      </c>
      <c r="H176" s="197">
        <v>18</v>
      </c>
      <c r="I176" s="197"/>
      <c r="J176" s="206">
        <v>15</v>
      </c>
      <c r="K176" s="206"/>
      <c r="L176" s="206"/>
      <c r="M176" s="206"/>
      <c r="N176" s="34"/>
      <c r="O176" s="34">
        <v>1.5</v>
      </c>
      <c r="P176" s="34"/>
      <c r="Q176" s="34"/>
      <c r="R176" s="34"/>
      <c r="S176" s="34"/>
      <c r="T176" s="35"/>
      <c r="U176" s="206"/>
      <c r="V176" s="206"/>
      <c r="W176" s="206"/>
      <c r="X176" s="206"/>
      <c r="Y176" s="57">
        <v>0.31</v>
      </c>
      <c r="Z176" s="184" t="s">
        <v>615</v>
      </c>
      <c r="AE176" s="184"/>
      <c r="AF176" s="184"/>
    </row>
    <row r="177" spans="1:32" s="1" customFormat="1" ht="19.5" customHeight="1" x14ac:dyDescent="0.3">
      <c r="A177" s="201"/>
      <c r="B177" s="403"/>
      <c r="C177" s="335"/>
      <c r="D177" s="93" t="s">
        <v>52</v>
      </c>
      <c r="E177" s="197" t="s">
        <v>300</v>
      </c>
      <c r="F177" s="206">
        <v>2</v>
      </c>
      <c r="G177" s="197" t="s">
        <v>35</v>
      </c>
      <c r="H177" s="197">
        <v>25</v>
      </c>
      <c r="I177" s="197">
        <v>30</v>
      </c>
      <c r="J177" s="206">
        <v>15</v>
      </c>
      <c r="K177" s="206"/>
      <c r="L177" s="206"/>
      <c r="M177" s="206">
        <v>4</v>
      </c>
      <c r="N177" s="206"/>
      <c r="O177" s="206">
        <v>1.5</v>
      </c>
      <c r="P177" s="206"/>
      <c r="Q177" s="206"/>
      <c r="R177" s="206"/>
      <c r="S177" s="206"/>
      <c r="T177" s="206"/>
      <c r="U177" s="206"/>
      <c r="V177" s="206"/>
      <c r="W177" s="197"/>
      <c r="X177" s="35"/>
      <c r="Y177" s="57">
        <v>0.98</v>
      </c>
      <c r="Z177" s="184" t="s">
        <v>615</v>
      </c>
      <c r="AE177" s="184"/>
      <c r="AF177" s="184"/>
    </row>
    <row r="178" spans="1:32" s="1" customFormat="1" ht="19.5" customHeight="1" x14ac:dyDescent="0.3">
      <c r="A178" s="201"/>
      <c r="B178" s="403"/>
      <c r="C178" s="335"/>
      <c r="D178" s="93" t="s">
        <v>52</v>
      </c>
      <c r="E178" s="197" t="s">
        <v>319</v>
      </c>
      <c r="F178" s="206">
        <v>2</v>
      </c>
      <c r="G178" s="197" t="s">
        <v>35</v>
      </c>
      <c r="H178" s="197">
        <v>25</v>
      </c>
      <c r="I178" s="197"/>
      <c r="J178" s="206">
        <v>15</v>
      </c>
      <c r="K178" s="206"/>
      <c r="L178" s="206"/>
      <c r="M178" s="206"/>
      <c r="N178" s="34"/>
      <c r="O178" s="34">
        <v>1.5</v>
      </c>
      <c r="P178" s="34"/>
      <c r="Q178" s="34"/>
      <c r="R178" s="34"/>
      <c r="S178" s="34"/>
      <c r="T178" s="35"/>
      <c r="U178" s="206"/>
      <c r="V178" s="206"/>
      <c r="W178" s="206"/>
      <c r="X178" s="206"/>
      <c r="Y178" s="57">
        <v>0.31</v>
      </c>
      <c r="Z178" s="184" t="s">
        <v>615</v>
      </c>
      <c r="AE178" s="184"/>
      <c r="AF178" s="184"/>
    </row>
    <row r="179" spans="1:32" s="1" customFormat="1" ht="19.5" customHeight="1" x14ac:dyDescent="0.3">
      <c r="A179" s="201"/>
      <c r="B179" s="403"/>
      <c r="C179" s="335"/>
      <c r="D179" s="93" t="s">
        <v>52</v>
      </c>
      <c r="E179" s="197" t="s">
        <v>302</v>
      </c>
      <c r="F179" s="206">
        <v>2</v>
      </c>
      <c r="G179" s="197" t="s">
        <v>35</v>
      </c>
      <c r="H179" s="197">
        <v>29</v>
      </c>
      <c r="I179" s="197"/>
      <c r="J179" s="206">
        <v>15</v>
      </c>
      <c r="K179" s="206"/>
      <c r="L179" s="206"/>
      <c r="M179" s="206"/>
      <c r="N179" s="34"/>
      <c r="O179" s="34">
        <v>1.5</v>
      </c>
      <c r="P179" s="34"/>
      <c r="Q179" s="34"/>
      <c r="R179" s="34"/>
      <c r="S179" s="34"/>
      <c r="T179" s="35"/>
      <c r="U179" s="206"/>
      <c r="V179" s="206"/>
      <c r="W179" s="206"/>
      <c r="X179" s="206"/>
      <c r="Y179" s="57">
        <v>0.31</v>
      </c>
      <c r="Z179" s="184" t="s">
        <v>615</v>
      </c>
      <c r="AE179" s="184"/>
      <c r="AF179" s="184"/>
    </row>
    <row r="180" spans="1:32" s="1" customFormat="1" ht="19.5" customHeight="1" x14ac:dyDescent="0.3">
      <c r="A180" s="201"/>
      <c r="B180" s="403"/>
      <c r="C180" s="335"/>
      <c r="D180" s="93" t="s">
        <v>52</v>
      </c>
      <c r="E180" s="197" t="s">
        <v>320</v>
      </c>
      <c r="F180" s="206">
        <v>2</v>
      </c>
      <c r="G180" s="197" t="s">
        <v>35</v>
      </c>
      <c r="H180" s="197">
        <v>29</v>
      </c>
      <c r="I180" s="197"/>
      <c r="J180" s="206">
        <v>15</v>
      </c>
      <c r="K180" s="206"/>
      <c r="L180" s="206"/>
      <c r="M180" s="206"/>
      <c r="N180" s="34"/>
      <c r="O180" s="34">
        <v>1.5</v>
      </c>
      <c r="P180" s="34"/>
      <c r="Q180" s="34"/>
      <c r="R180" s="34"/>
      <c r="S180" s="34"/>
      <c r="T180" s="35"/>
      <c r="U180" s="206"/>
      <c r="V180" s="206"/>
      <c r="W180" s="206"/>
      <c r="X180" s="206"/>
      <c r="Y180" s="57">
        <v>0.31</v>
      </c>
      <c r="Z180" s="184" t="s">
        <v>615</v>
      </c>
      <c r="AE180" s="184"/>
      <c r="AF180" s="184"/>
    </row>
    <row r="181" spans="1:32" s="1" customFormat="1" ht="19.5" customHeight="1" x14ac:dyDescent="0.3">
      <c r="A181" s="201"/>
      <c r="B181" s="403"/>
      <c r="C181" s="335"/>
      <c r="D181" s="93" t="s">
        <v>52</v>
      </c>
      <c r="E181" s="197" t="s">
        <v>303</v>
      </c>
      <c r="F181" s="206">
        <v>2</v>
      </c>
      <c r="G181" s="197" t="s">
        <v>35</v>
      </c>
      <c r="H181" s="197">
        <v>30</v>
      </c>
      <c r="I181" s="197">
        <v>30</v>
      </c>
      <c r="J181" s="206">
        <v>15</v>
      </c>
      <c r="K181" s="206"/>
      <c r="L181" s="206"/>
      <c r="M181" s="206">
        <v>4</v>
      </c>
      <c r="N181" s="206"/>
      <c r="O181" s="206">
        <v>1.5</v>
      </c>
      <c r="P181" s="206"/>
      <c r="Q181" s="206"/>
      <c r="R181" s="206"/>
      <c r="S181" s="206"/>
      <c r="T181" s="206"/>
      <c r="U181" s="206"/>
      <c r="V181" s="206"/>
      <c r="W181" s="197"/>
      <c r="X181" s="35"/>
      <c r="Y181" s="57">
        <v>0.98</v>
      </c>
      <c r="Z181" s="184" t="s">
        <v>615</v>
      </c>
      <c r="AE181" s="184"/>
      <c r="AF181" s="184"/>
    </row>
    <row r="182" spans="1:32" s="1" customFormat="1" ht="19.5" customHeight="1" x14ac:dyDescent="0.3">
      <c r="A182" s="201"/>
      <c r="B182" s="403"/>
      <c r="C182" s="335"/>
      <c r="D182" s="93" t="s">
        <v>52</v>
      </c>
      <c r="E182" s="197" t="s">
        <v>321</v>
      </c>
      <c r="F182" s="206">
        <v>2</v>
      </c>
      <c r="G182" s="197" t="s">
        <v>35</v>
      </c>
      <c r="H182" s="197">
        <v>30</v>
      </c>
      <c r="I182" s="197"/>
      <c r="J182" s="206">
        <v>15</v>
      </c>
      <c r="K182" s="206"/>
      <c r="L182" s="206"/>
      <c r="M182" s="206"/>
      <c r="N182" s="34"/>
      <c r="O182" s="34">
        <v>1.5</v>
      </c>
      <c r="P182" s="34"/>
      <c r="Q182" s="34"/>
      <c r="R182" s="34"/>
      <c r="S182" s="34"/>
      <c r="T182" s="35"/>
      <c r="U182" s="206"/>
      <c r="V182" s="206"/>
      <c r="W182" s="206"/>
      <c r="X182" s="206"/>
      <c r="Y182" s="57">
        <v>0.31</v>
      </c>
      <c r="Z182" s="184" t="s">
        <v>615</v>
      </c>
      <c r="AE182" s="184"/>
      <c r="AF182" s="184"/>
    </row>
    <row r="183" spans="1:32" s="1" customFormat="1" ht="19.5" customHeight="1" x14ac:dyDescent="0.3">
      <c r="A183" s="201"/>
      <c r="B183" s="403"/>
      <c r="C183" s="335"/>
      <c r="D183" s="206" t="s">
        <v>62</v>
      </c>
      <c r="E183" s="206" t="s">
        <v>305</v>
      </c>
      <c r="F183" s="206">
        <v>2</v>
      </c>
      <c r="G183" s="206" t="s">
        <v>32</v>
      </c>
      <c r="H183" s="197">
        <v>5</v>
      </c>
      <c r="I183" s="197">
        <v>30</v>
      </c>
      <c r="J183" s="206">
        <v>15</v>
      </c>
      <c r="K183" s="206"/>
      <c r="L183" s="206"/>
      <c r="M183" s="206">
        <v>4</v>
      </c>
      <c r="N183" s="206"/>
      <c r="O183" s="206">
        <v>1.5</v>
      </c>
      <c r="P183" s="206"/>
      <c r="Q183" s="206"/>
      <c r="R183" s="206"/>
      <c r="S183" s="206"/>
      <c r="T183" s="206"/>
      <c r="U183" s="206"/>
      <c r="V183" s="206"/>
      <c r="W183" s="197"/>
      <c r="X183" s="35"/>
      <c r="Y183" s="57">
        <v>0.98</v>
      </c>
      <c r="Z183" s="184" t="s">
        <v>603</v>
      </c>
      <c r="AE183" s="184"/>
      <c r="AF183" s="184"/>
    </row>
    <row r="184" spans="1:32" s="1" customFormat="1" ht="19.5" customHeight="1" x14ac:dyDescent="0.3">
      <c r="A184" s="201"/>
      <c r="B184" s="403"/>
      <c r="C184" s="335"/>
      <c r="D184" s="197" t="s">
        <v>210</v>
      </c>
      <c r="E184" s="197" t="s">
        <v>323</v>
      </c>
      <c r="F184" s="206">
        <v>2</v>
      </c>
      <c r="G184" s="206" t="s">
        <v>32</v>
      </c>
      <c r="H184" s="197">
        <v>3</v>
      </c>
      <c r="I184" s="197"/>
      <c r="J184" s="206"/>
      <c r="K184" s="206"/>
      <c r="L184" s="206"/>
      <c r="M184" s="206"/>
      <c r="N184" s="34"/>
      <c r="O184" s="206"/>
      <c r="P184" s="34"/>
      <c r="Q184" s="34"/>
      <c r="R184" s="34"/>
      <c r="S184" s="34"/>
      <c r="T184" s="35"/>
      <c r="U184" s="206"/>
      <c r="V184" s="206"/>
      <c r="W184" s="206"/>
      <c r="X184" s="206"/>
      <c r="Y184" s="36"/>
      <c r="Z184" s="184" t="s">
        <v>603</v>
      </c>
      <c r="AE184" s="184"/>
      <c r="AF184" s="184"/>
    </row>
    <row r="185" spans="1:32" s="1" customFormat="1" ht="19.5" customHeight="1" x14ac:dyDescent="0.3">
      <c r="A185" s="201"/>
      <c r="B185" s="403"/>
      <c r="C185" s="335"/>
      <c r="D185" s="206" t="s">
        <v>170</v>
      </c>
      <c r="E185" s="206" t="s">
        <v>306</v>
      </c>
      <c r="F185" s="206">
        <v>2</v>
      </c>
      <c r="G185" s="206" t="s">
        <v>32</v>
      </c>
      <c r="H185" s="197">
        <v>3</v>
      </c>
      <c r="I185" s="197"/>
      <c r="J185" s="206"/>
      <c r="K185" s="206"/>
      <c r="L185" s="206"/>
      <c r="M185" s="206"/>
      <c r="N185" s="34"/>
      <c r="O185" s="206"/>
      <c r="P185" s="34"/>
      <c r="Q185" s="34"/>
      <c r="R185" s="34"/>
      <c r="S185" s="34"/>
      <c r="T185" s="35"/>
      <c r="U185" s="206"/>
      <c r="V185" s="206"/>
      <c r="W185" s="206"/>
      <c r="X185" s="206"/>
      <c r="Y185" s="36"/>
      <c r="Z185" s="184" t="s">
        <v>603</v>
      </c>
      <c r="AE185" s="184"/>
      <c r="AF185" s="184"/>
    </row>
    <row r="186" spans="1:32" s="1" customFormat="1" ht="19.5" customHeight="1" x14ac:dyDescent="0.3">
      <c r="A186" s="201"/>
      <c r="B186" s="403"/>
      <c r="C186" s="335"/>
      <c r="D186" s="206" t="s">
        <v>61</v>
      </c>
      <c r="E186" s="206" t="s">
        <v>307</v>
      </c>
      <c r="F186" s="206">
        <v>2</v>
      </c>
      <c r="G186" s="206" t="s">
        <v>32</v>
      </c>
      <c r="H186" s="197">
        <v>8</v>
      </c>
      <c r="I186" s="197"/>
      <c r="J186" s="206"/>
      <c r="K186" s="206"/>
      <c r="L186" s="206"/>
      <c r="M186" s="206"/>
      <c r="N186" s="34"/>
      <c r="O186" s="206"/>
      <c r="P186" s="34"/>
      <c r="Q186" s="34"/>
      <c r="R186" s="34"/>
      <c r="S186" s="34"/>
      <c r="T186" s="35"/>
      <c r="U186" s="206"/>
      <c r="V186" s="206"/>
      <c r="W186" s="206"/>
      <c r="X186" s="206"/>
      <c r="Y186" s="36"/>
      <c r="Z186" s="184" t="s">
        <v>603</v>
      </c>
      <c r="AE186" s="184"/>
      <c r="AF186" s="184"/>
    </row>
    <row r="187" spans="1:32" s="1" customFormat="1" ht="19.5" customHeight="1" x14ac:dyDescent="0.3">
      <c r="A187" s="201"/>
      <c r="B187" s="403"/>
      <c r="C187" s="335"/>
      <c r="D187" s="93" t="s">
        <v>44</v>
      </c>
      <c r="E187" s="197" t="s">
        <v>308</v>
      </c>
      <c r="F187" s="206">
        <v>2</v>
      </c>
      <c r="G187" s="206" t="s">
        <v>32</v>
      </c>
      <c r="H187" s="197">
        <v>3</v>
      </c>
      <c r="I187" s="197"/>
      <c r="J187" s="206"/>
      <c r="K187" s="206"/>
      <c r="L187" s="206"/>
      <c r="M187" s="206"/>
      <c r="N187" s="34"/>
      <c r="O187" s="206"/>
      <c r="P187" s="34"/>
      <c r="Q187" s="34"/>
      <c r="R187" s="34"/>
      <c r="S187" s="34"/>
      <c r="T187" s="35"/>
      <c r="U187" s="206"/>
      <c r="V187" s="206"/>
      <c r="W187" s="206"/>
      <c r="X187" s="206"/>
      <c r="Y187" s="36"/>
      <c r="Z187" s="184" t="s">
        <v>603</v>
      </c>
      <c r="AE187" s="184"/>
      <c r="AF187" s="184"/>
    </row>
    <row r="188" spans="1:32" s="1" customFormat="1" ht="19.5" customHeight="1" x14ac:dyDescent="0.3">
      <c r="A188" s="201"/>
      <c r="B188" s="403"/>
      <c r="C188" s="335"/>
      <c r="D188" s="93" t="s">
        <v>43</v>
      </c>
      <c r="E188" s="197" t="s">
        <v>309</v>
      </c>
      <c r="F188" s="206">
        <v>2</v>
      </c>
      <c r="G188" s="206" t="s">
        <v>32</v>
      </c>
      <c r="H188" s="197">
        <v>5</v>
      </c>
      <c r="I188" s="197"/>
      <c r="J188" s="206"/>
      <c r="K188" s="206"/>
      <c r="L188" s="206"/>
      <c r="M188" s="206"/>
      <c r="N188" s="34"/>
      <c r="O188" s="206"/>
      <c r="P188" s="34"/>
      <c r="Q188" s="34"/>
      <c r="R188" s="34"/>
      <c r="S188" s="34"/>
      <c r="T188" s="35"/>
      <c r="U188" s="206"/>
      <c r="V188" s="206"/>
      <c r="W188" s="206"/>
      <c r="X188" s="206"/>
      <c r="Y188" s="36"/>
      <c r="Z188" s="184" t="s">
        <v>603</v>
      </c>
      <c r="AE188" s="184"/>
      <c r="AF188" s="184"/>
    </row>
    <row r="189" spans="1:32" s="1" customFormat="1" ht="19.5" customHeight="1" x14ac:dyDescent="0.3">
      <c r="A189" s="201"/>
      <c r="B189" s="403"/>
      <c r="C189" s="335"/>
      <c r="D189" s="197" t="s">
        <v>60</v>
      </c>
      <c r="E189" s="197" t="s">
        <v>310</v>
      </c>
      <c r="F189" s="206">
        <v>2</v>
      </c>
      <c r="G189" s="206" t="s">
        <v>32</v>
      </c>
      <c r="H189" s="197">
        <v>10</v>
      </c>
      <c r="I189" s="197"/>
      <c r="J189" s="206">
        <v>15</v>
      </c>
      <c r="K189" s="206"/>
      <c r="L189" s="206"/>
      <c r="M189" s="206"/>
      <c r="N189" s="34"/>
      <c r="O189" s="34">
        <v>1.5</v>
      </c>
      <c r="P189" s="34"/>
      <c r="Q189" s="34"/>
      <c r="R189" s="34"/>
      <c r="S189" s="34"/>
      <c r="T189" s="35"/>
      <c r="U189" s="206"/>
      <c r="V189" s="206"/>
      <c r="W189" s="206"/>
      <c r="X189" s="206"/>
      <c r="Y189" s="57">
        <v>0.31</v>
      </c>
      <c r="Z189" s="184" t="s">
        <v>603</v>
      </c>
      <c r="AE189" s="184"/>
      <c r="AF189" s="184"/>
    </row>
    <row r="190" spans="1:32" s="1" customFormat="1" ht="19.5" customHeight="1" x14ac:dyDescent="0.3">
      <c r="A190" s="201"/>
      <c r="B190" s="403"/>
      <c r="C190" s="335"/>
      <c r="D190" s="93" t="s">
        <v>114</v>
      </c>
      <c r="E190" s="206" t="s">
        <v>312</v>
      </c>
      <c r="F190" s="206">
        <v>2</v>
      </c>
      <c r="G190" s="206" t="s">
        <v>32</v>
      </c>
      <c r="H190" s="197">
        <v>5</v>
      </c>
      <c r="I190" s="197"/>
      <c r="J190" s="206"/>
      <c r="K190" s="206"/>
      <c r="L190" s="206"/>
      <c r="M190" s="206"/>
      <c r="N190" s="34"/>
      <c r="O190" s="206"/>
      <c r="P190" s="34"/>
      <c r="Q190" s="34"/>
      <c r="R190" s="34"/>
      <c r="S190" s="34"/>
      <c r="T190" s="35"/>
      <c r="U190" s="206"/>
      <c r="V190" s="206"/>
      <c r="W190" s="206"/>
      <c r="X190" s="206"/>
      <c r="Y190" s="36"/>
      <c r="Z190" s="184" t="s">
        <v>603</v>
      </c>
      <c r="AE190" s="184"/>
      <c r="AF190" s="184"/>
    </row>
    <row r="191" spans="1:32" s="1" customFormat="1" ht="19.5" customHeight="1" x14ac:dyDescent="0.3">
      <c r="A191" s="201"/>
      <c r="B191" s="403"/>
      <c r="C191" s="335"/>
      <c r="D191" s="93" t="s">
        <v>46</v>
      </c>
      <c r="E191" s="197" t="s">
        <v>313</v>
      </c>
      <c r="F191" s="206">
        <v>2</v>
      </c>
      <c r="G191" s="206" t="s">
        <v>32</v>
      </c>
      <c r="H191" s="197">
        <v>10</v>
      </c>
      <c r="I191" s="197"/>
      <c r="J191" s="206"/>
      <c r="K191" s="206"/>
      <c r="L191" s="206"/>
      <c r="M191" s="206"/>
      <c r="N191" s="34"/>
      <c r="O191" s="206"/>
      <c r="P191" s="34"/>
      <c r="Q191" s="34"/>
      <c r="R191" s="34"/>
      <c r="S191" s="34"/>
      <c r="T191" s="35"/>
      <c r="U191" s="206"/>
      <c r="V191" s="206"/>
      <c r="W191" s="206"/>
      <c r="X191" s="206"/>
      <c r="Y191" s="36"/>
      <c r="Z191" s="184" t="s">
        <v>603</v>
      </c>
      <c r="AE191" s="184"/>
      <c r="AF191" s="184"/>
    </row>
    <row r="192" spans="1:32" s="1" customFormat="1" ht="19.5" customHeight="1" x14ac:dyDescent="0.3">
      <c r="A192" s="201"/>
      <c r="B192" s="403"/>
      <c r="C192" s="335"/>
      <c r="D192" s="197" t="s">
        <v>60</v>
      </c>
      <c r="E192" s="197" t="s">
        <v>324</v>
      </c>
      <c r="F192" s="206">
        <v>2</v>
      </c>
      <c r="G192" s="206" t="s">
        <v>32</v>
      </c>
      <c r="H192" s="197">
        <v>21</v>
      </c>
      <c r="I192" s="197"/>
      <c r="J192" s="206">
        <v>15</v>
      </c>
      <c r="K192" s="206"/>
      <c r="L192" s="206"/>
      <c r="M192" s="206"/>
      <c r="N192" s="34"/>
      <c r="O192" s="34">
        <v>1.5</v>
      </c>
      <c r="P192" s="34"/>
      <c r="Q192" s="34"/>
      <c r="R192" s="34"/>
      <c r="S192" s="34"/>
      <c r="T192" s="35"/>
      <c r="U192" s="206"/>
      <c r="V192" s="206"/>
      <c r="W192" s="206"/>
      <c r="X192" s="206"/>
      <c r="Y192" s="57">
        <v>0.31</v>
      </c>
      <c r="Z192" s="184" t="s">
        <v>603</v>
      </c>
      <c r="AE192" s="184"/>
      <c r="AF192" s="184"/>
    </row>
    <row r="193" spans="1:32" s="1" customFormat="1" ht="19.5" customHeight="1" x14ac:dyDescent="0.3">
      <c r="A193" s="201"/>
      <c r="B193" s="403"/>
      <c r="C193" s="335"/>
      <c r="D193" s="197" t="s">
        <v>81</v>
      </c>
      <c r="E193" s="197" t="s">
        <v>311</v>
      </c>
      <c r="F193" s="206">
        <v>2</v>
      </c>
      <c r="G193" s="206" t="s">
        <v>32</v>
      </c>
      <c r="H193" s="197">
        <v>14</v>
      </c>
      <c r="I193" s="197"/>
      <c r="J193" s="206">
        <v>15</v>
      </c>
      <c r="K193" s="206"/>
      <c r="L193" s="206"/>
      <c r="M193" s="206"/>
      <c r="N193" s="34"/>
      <c r="O193" s="34">
        <v>1.5</v>
      </c>
      <c r="P193" s="34"/>
      <c r="Q193" s="34"/>
      <c r="R193" s="34"/>
      <c r="S193" s="34"/>
      <c r="T193" s="35"/>
      <c r="U193" s="206"/>
      <c r="V193" s="206"/>
      <c r="W193" s="206"/>
      <c r="X193" s="206"/>
      <c r="Y193" s="57">
        <v>0.31</v>
      </c>
      <c r="Z193" s="184" t="s">
        <v>603</v>
      </c>
      <c r="AE193" s="184"/>
      <c r="AF193" s="184"/>
    </row>
    <row r="194" spans="1:32" s="1" customFormat="1" ht="19.5" customHeight="1" x14ac:dyDescent="0.3">
      <c r="A194" s="201"/>
      <c r="B194" s="403"/>
      <c r="C194" s="335"/>
      <c r="D194" s="93" t="s">
        <v>41</v>
      </c>
      <c r="E194" s="206" t="s">
        <v>317</v>
      </c>
      <c r="F194" s="206">
        <v>2</v>
      </c>
      <c r="G194" s="206" t="s">
        <v>32</v>
      </c>
      <c r="H194" s="197">
        <v>4</v>
      </c>
      <c r="I194" s="197">
        <v>30</v>
      </c>
      <c r="J194" s="206">
        <v>15</v>
      </c>
      <c r="K194" s="206"/>
      <c r="L194" s="206"/>
      <c r="M194" s="206">
        <v>4</v>
      </c>
      <c r="N194" s="206"/>
      <c r="O194" s="206">
        <v>1.5</v>
      </c>
      <c r="P194" s="206"/>
      <c r="Q194" s="206"/>
      <c r="R194" s="206"/>
      <c r="S194" s="206"/>
      <c r="T194" s="206"/>
      <c r="U194" s="206"/>
      <c r="V194" s="206"/>
      <c r="W194" s="197"/>
      <c r="X194" s="35"/>
      <c r="Y194" s="57">
        <v>0.98</v>
      </c>
      <c r="Z194" s="184" t="s">
        <v>603</v>
      </c>
      <c r="AE194" s="184"/>
      <c r="AF194" s="184"/>
    </row>
    <row r="195" spans="1:32" s="1" customFormat="1" ht="19.5" customHeight="1" x14ac:dyDescent="0.3">
      <c r="A195" s="201"/>
      <c r="B195" s="403"/>
      <c r="C195" s="335"/>
      <c r="D195" s="206" t="s">
        <v>51</v>
      </c>
      <c r="E195" s="206" t="s">
        <v>314</v>
      </c>
      <c r="F195" s="206">
        <v>2</v>
      </c>
      <c r="G195" s="206" t="s">
        <v>32</v>
      </c>
      <c r="H195" s="197">
        <v>3</v>
      </c>
      <c r="I195" s="197"/>
      <c r="J195" s="206"/>
      <c r="K195" s="206"/>
      <c r="L195" s="206"/>
      <c r="M195" s="206"/>
      <c r="N195" s="34"/>
      <c r="O195" s="206"/>
      <c r="P195" s="34"/>
      <c r="Q195" s="34"/>
      <c r="R195" s="34"/>
      <c r="S195" s="34"/>
      <c r="T195" s="35"/>
      <c r="U195" s="206"/>
      <c r="V195" s="206"/>
      <c r="W195" s="206"/>
      <c r="X195" s="206"/>
      <c r="Y195" s="36"/>
      <c r="Z195" s="184" t="s">
        <v>603</v>
      </c>
      <c r="AE195" s="184"/>
      <c r="AF195" s="184"/>
    </row>
    <row r="196" spans="1:32" s="1" customFormat="1" ht="19.5" customHeight="1" x14ac:dyDescent="0.3">
      <c r="A196" s="201"/>
      <c r="B196" s="403"/>
      <c r="C196" s="335"/>
      <c r="D196" s="93" t="s">
        <v>52</v>
      </c>
      <c r="E196" s="197" t="s">
        <v>315</v>
      </c>
      <c r="F196" s="206">
        <v>2</v>
      </c>
      <c r="G196" s="206" t="s">
        <v>32</v>
      </c>
      <c r="H196" s="197">
        <v>21</v>
      </c>
      <c r="I196" s="197"/>
      <c r="J196" s="206"/>
      <c r="K196" s="206"/>
      <c r="L196" s="206"/>
      <c r="M196" s="206"/>
      <c r="N196" s="34"/>
      <c r="O196" s="206"/>
      <c r="P196" s="34"/>
      <c r="Q196" s="34"/>
      <c r="R196" s="34"/>
      <c r="S196" s="34"/>
      <c r="T196" s="35"/>
      <c r="U196" s="206"/>
      <c r="V196" s="206"/>
      <c r="W196" s="206"/>
      <c r="X196" s="206"/>
      <c r="Y196" s="36"/>
      <c r="Z196" s="184" t="s">
        <v>603</v>
      </c>
      <c r="AE196" s="184"/>
      <c r="AF196" s="184"/>
    </row>
    <row r="197" spans="1:32" s="1" customFormat="1" ht="19.5" customHeight="1" x14ac:dyDescent="0.3">
      <c r="A197" s="201"/>
      <c r="B197" s="403"/>
      <c r="C197" s="335"/>
      <c r="D197" s="93" t="s">
        <v>52</v>
      </c>
      <c r="E197" s="197" t="s">
        <v>316</v>
      </c>
      <c r="F197" s="206">
        <v>2</v>
      </c>
      <c r="G197" s="206" t="s">
        <v>32</v>
      </c>
      <c r="H197" s="197">
        <v>27</v>
      </c>
      <c r="I197" s="197"/>
      <c r="J197" s="206">
        <v>15</v>
      </c>
      <c r="K197" s="206"/>
      <c r="L197" s="206"/>
      <c r="M197" s="206"/>
      <c r="N197" s="34"/>
      <c r="O197" s="34">
        <v>1.5</v>
      </c>
      <c r="P197" s="34"/>
      <c r="Q197" s="34"/>
      <c r="R197" s="34"/>
      <c r="S197" s="34"/>
      <c r="T197" s="35"/>
      <c r="U197" s="206"/>
      <c r="V197" s="206"/>
      <c r="W197" s="206"/>
      <c r="X197" s="206"/>
      <c r="Y197" s="57">
        <v>0.31</v>
      </c>
      <c r="Z197" s="184" t="s">
        <v>603</v>
      </c>
      <c r="AE197" s="184"/>
      <c r="AF197" s="184"/>
    </row>
    <row r="198" spans="1:32" s="1" customFormat="1" ht="19.5" customHeight="1" x14ac:dyDescent="0.3">
      <c r="A198" s="201"/>
      <c r="B198" s="395" t="s">
        <v>325</v>
      </c>
      <c r="C198" s="356"/>
      <c r="D198" s="225" t="s">
        <v>52</v>
      </c>
      <c r="E198" s="361" t="s">
        <v>547</v>
      </c>
      <c r="F198" s="358">
        <v>5</v>
      </c>
      <c r="G198" s="361" t="s">
        <v>35</v>
      </c>
      <c r="H198" s="361">
        <v>15</v>
      </c>
      <c r="I198" s="361"/>
      <c r="J198" s="358">
        <v>45</v>
      </c>
      <c r="K198" s="358"/>
      <c r="L198" s="358"/>
      <c r="M198" s="358">
        <v>15</v>
      </c>
      <c r="N198" s="230"/>
      <c r="O198" s="358">
        <v>3</v>
      </c>
      <c r="P198" s="230"/>
      <c r="Q198" s="230"/>
      <c r="R198" s="230"/>
      <c r="S198" s="230"/>
      <c r="T198" s="231"/>
      <c r="U198" s="358"/>
      <c r="V198" s="358"/>
      <c r="W198" s="358"/>
      <c r="X198" s="358"/>
      <c r="Y198" s="232">
        <v>2.1</v>
      </c>
      <c r="Z198" s="228" t="s">
        <v>620</v>
      </c>
      <c r="AE198" s="184"/>
      <c r="AF198" s="184"/>
    </row>
    <row r="199" spans="1:32" s="1" customFormat="1" ht="19.5" customHeight="1" x14ac:dyDescent="0.3">
      <c r="A199" s="201"/>
      <c r="B199" s="396"/>
      <c r="C199" s="357"/>
      <c r="D199" s="225" t="s">
        <v>52</v>
      </c>
      <c r="E199" s="361" t="s">
        <v>549</v>
      </c>
      <c r="F199" s="358">
        <v>5</v>
      </c>
      <c r="G199" s="361" t="s">
        <v>35</v>
      </c>
      <c r="H199" s="361">
        <v>15</v>
      </c>
      <c r="I199" s="361"/>
      <c r="J199" s="358">
        <v>45</v>
      </c>
      <c r="K199" s="358"/>
      <c r="L199" s="358"/>
      <c r="M199" s="358"/>
      <c r="N199" s="230"/>
      <c r="O199" s="358"/>
      <c r="P199" s="230"/>
      <c r="Q199" s="230"/>
      <c r="R199" s="230"/>
      <c r="S199" s="230"/>
      <c r="T199" s="231"/>
      <c r="U199" s="358"/>
      <c r="V199" s="358"/>
      <c r="W199" s="358"/>
      <c r="X199" s="358"/>
      <c r="Y199" s="232">
        <v>1.5</v>
      </c>
      <c r="Z199" s="228" t="s">
        <v>621</v>
      </c>
      <c r="AE199" s="184"/>
      <c r="AF199" s="184"/>
    </row>
    <row r="200" spans="1:32" s="1" customFormat="1" ht="19.5" customHeight="1" x14ac:dyDescent="0.3">
      <c r="A200" s="201"/>
      <c r="B200" s="396"/>
      <c r="C200" s="357"/>
      <c r="D200" s="225" t="s">
        <v>52</v>
      </c>
      <c r="E200" s="361" t="s">
        <v>551</v>
      </c>
      <c r="F200" s="358">
        <v>5</v>
      </c>
      <c r="G200" s="361" t="s">
        <v>35</v>
      </c>
      <c r="H200" s="361">
        <v>15</v>
      </c>
      <c r="I200" s="361"/>
      <c r="J200" s="358">
        <v>45</v>
      </c>
      <c r="K200" s="358"/>
      <c r="L200" s="358"/>
      <c r="M200" s="358"/>
      <c r="N200" s="230"/>
      <c r="O200" s="358">
        <v>3</v>
      </c>
      <c r="P200" s="230"/>
      <c r="Q200" s="230"/>
      <c r="R200" s="230"/>
      <c r="S200" s="230"/>
      <c r="T200" s="231"/>
      <c r="U200" s="358"/>
      <c r="V200" s="358"/>
      <c r="W200" s="358"/>
      <c r="X200" s="358"/>
      <c r="Y200" s="232">
        <v>1.6</v>
      </c>
      <c r="Z200" s="228" t="s">
        <v>620</v>
      </c>
      <c r="AE200" s="184"/>
      <c r="AF200" s="184"/>
    </row>
    <row r="201" spans="1:32" s="1" customFormat="1" ht="19.5" customHeight="1" x14ac:dyDescent="0.3">
      <c r="A201" s="201"/>
      <c r="B201" s="396"/>
      <c r="C201" s="357"/>
      <c r="D201" s="225" t="s">
        <v>52</v>
      </c>
      <c r="E201" s="361" t="s">
        <v>552</v>
      </c>
      <c r="F201" s="358">
        <v>5</v>
      </c>
      <c r="G201" s="361" t="s">
        <v>35</v>
      </c>
      <c r="H201" s="361">
        <v>14</v>
      </c>
      <c r="I201" s="361"/>
      <c r="J201" s="358">
        <v>45</v>
      </c>
      <c r="K201" s="358"/>
      <c r="L201" s="358"/>
      <c r="M201" s="358"/>
      <c r="N201" s="230"/>
      <c r="O201" s="358"/>
      <c r="P201" s="230"/>
      <c r="Q201" s="230"/>
      <c r="R201" s="230"/>
      <c r="S201" s="230"/>
      <c r="T201" s="231"/>
      <c r="U201" s="358"/>
      <c r="V201" s="358"/>
      <c r="W201" s="358"/>
      <c r="X201" s="358"/>
      <c r="Y201" s="232">
        <v>1.5</v>
      </c>
      <c r="Z201" s="228" t="s">
        <v>621</v>
      </c>
      <c r="AE201" s="184"/>
      <c r="AF201" s="184"/>
    </row>
    <row r="202" spans="1:32" s="1" customFormat="1" ht="19.5" customHeight="1" x14ac:dyDescent="0.3">
      <c r="A202" s="201"/>
      <c r="B202" s="396"/>
      <c r="C202" s="357"/>
      <c r="D202" s="361" t="s">
        <v>81</v>
      </c>
      <c r="E202" s="361" t="s">
        <v>553</v>
      </c>
      <c r="F202" s="358">
        <v>5</v>
      </c>
      <c r="G202" s="361" t="s">
        <v>35</v>
      </c>
      <c r="H202" s="361">
        <v>15</v>
      </c>
      <c r="I202" s="361"/>
      <c r="J202" s="358">
        <v>45</v>
      </c>
      <c r="K202" s="358"/>
      <c r="L202" s="358"/>
      <c r="M202" s="358"/>
      <c r="N202" s="230"/>
      <c r="O202" s="358">
        <v>3</v>
      </c>
      <c r="P202" s="230"/>
      <c r="Q202" s="230"/>
      <c r="R202" s="230"/>
      <c r="S202" s="230"/>
      <c r="T202" s="231"/>
      <c r="U202" s="358"/>
      <c r="V202" s="358"/>
      <c r="W202" s="358"/>
      <c r="X202" s="358"/>
      <c r="Y202" s="232">
        <v>1.6</v>
      </c>
      <c r="Z202" s="228" t="s">
        <v>622</v>
      </c>
      <c r="AE202" s="184"/>
      <c r="AF202" s="184"/>
    </row>
    <row r="203" spans="1:32" s="1" customFormat="1" ht="19.5" customHeight="1" x14ac:dyDescent="0.3">
      <c r="A203" s="201"/>
      <c r="B203" s="396"/>
      <c r="C203" s="357"/>
      <c r="D203" s="361" t="s">
        <v>81</v>
      </c>
      <c r="E203" s="361" t="s">
        <v>554</v>
      </c>
      <c r="F203" s="358">
        <v>5</v>
      </c>
      <c r="G203" s="361" t="s">
        <v>35</v>
      </c>
      <c r="H203" s="361">
        <v>15</v>
      </c>
      <c r="I203" s="361"/>
      <c r="J203" s="358">
        <v>45</v>
      </c>
      <c r="K203" s="358"/>
      <c r="L203" s="358"/>
      <c r="M203" s="358"/>
      <c r="N203" s="230"/>
      <c r="O203" s="358"/>
      <c r="P203" s="230"/>
      <c r="Q203" s="230"/>
      <c r="R203" s="230"/>
      <c r="S203" s="230"/>
      <c r="T203" s="231"/>
      <c r="U203" s="358"/>
      <c r="V203" s="358"/>
      <c r="W203" s="358"/>
      <c r="X203" s="358"/>
      <c r="Y203" s="232">
        <v>1.5</v>
      </c>
      <c r="Z203" s="228" t="s">
        <v>623</v>
      </c>
      <c r="AE203" s="184"/>
      <c r="AF203" s="184"/>
    </row>
    <row r="204" spans="1:32" s="1" customFormat="1" ht="19.5" customHeight="1" x14ac:dyDescent="0.3">
      <c r="A204" s="201"/>
      <c r="B204" s="396"/>
      <c r="C204" s="357"/>
      <c r="D204" s="358" t="s">
        <v>170</v>
      </c>
      <c r="E204" s="358" t="s">
        <v>556</v>
      </c>
      <c r="F204" s="358">
        <v>5</v>
      </c>
      <c r="G204" s="358" t="s">
        <v>35</v>
      </c>
      <c r="H204" s="361">
        <v>13</v>
      </c>
      <c r="I204" s="361"/>
      <c r="J204" s="358">
        <v>45</v>
      </c>
      <c r="K204" s="358"/>
      <c r="L204" s="358"/>
      <c r="M204" s="358"/>
      <c r="N204" s="230"/>
      <c r="O204" s="358">
        <v>3</v>
      </c>
      <c r="P204" s="230"/>
      <c r="Q204" s="230"/>
      <c r="R204" s="230"/>
      <c r="S204" s="230"/>
      <c r="T204" s="231"/>
      <c r="U204" s="358"/>
      <c r="V204" s="358"/>
      <c r="W204" s="358"/>
      <c r="X204" s="358"/>
      <c r="Y204" s="232">
        <v>1.6</v>
      </c>
      <c r="Z204" s="228" t="s">
        <v>639</v>
      </c>
      <c r="AE204" s="184"/>
      <c r="AF204" s="184"/>
    </row>
    <row r="205" spans="1:32" s="1" customFormat="1" ht="19.5" customHeight="1" x14ac:dyDescent="0.3">
      <c r="A205" s="201"/>
      <c r="B205" s="396"/>
      <c r="C205" s="357"/>
      <c r="D205" s="358" t="s">
        <v>170</v>
      </c>
      <c r="E205" s="358" t="s">
        <v>557</v>
      </c>
      <c r="F205" s="358">
        <v>5</v>
      </c>
      <c r="G205" s="358" t="s">
        <v>35</v>
      </c>
      <c r="H205" s="361">
        <v>12</v>
      </c>
      <c r="I205" s="361"/>
      <c r="J205" s="358">
        <v>45</v>
      </c>
      <c r="K205" s="358"/>
      <c r="L205" s="358"/>
      <c r="M205" s="358"/>
      <c r="N205" s="230"/>
      <c r="O205" s="358"/>
      <c r="P205" s="230"/>
      <c r="Q205" s="230"/>
      <c r="R205" s="230"/>
      <c r="S205" s="230"/>
      <c r="T205" s="231"/>
      <c r="U205" s="358"/>
      <c r="V205" s="358"/>
      <c r="W205" s="358"/>
      <c r="X205" s="358"/>
      <c r="Y205" s="232">
        <v>1.5</v>
      </c>
      <c r="Z205" s="228" t="s">
        <v>623</v>
      </c>
      <c r="AE205" s="184"/>
      <c r="AF205" s="184"/>
    </row>
    <row r="206" spans="1:32" s="1" customFormat="1" ht="19.5" customHeight="1" x14ac:dyDescent="0.3">
      <c r="A206" s="201"/>
      <c r="B206" s="396"/>
      <c r="C206" s="357"/>
      <c r="D206" s="358" t="s">
        <v>170</v>
      </c>
      <c r="E206" s="358" t="s">
        <v>558</v>
      </c>
      <c r="F206" s="358">
        <v>5</v>
      </c>
      <c r="G206" s="358" t="s">
        <v>35</v>
      </c>
      <c r="H206" s="361">
        <v>13</v>
      </c>
      <c r="I206" s="361"/>
      <c r="J206" s="358">
        <v>45</v>
      </c>
      <c r="K206" s="358"/>
      <c r="L206" s="358"/>
      <c r="M206" s="358"/>
      <c r="N206" s="230"/>
      <c r="O206" s="358">
        <v>3</v>
      </c>
      <c r="P206" s="230"/>
      <c r="Q206" s="230"/>
      <c r="R206" s="230"/>
      <c r="S206" s="230"/>
      <c r="T206" s="231"/>
      <c r="U206" s="358"/>
      <c r="V206" s="358"/>
      <c r="W206" s="358"/>
      <c r="X206" s="358"/>
      <c r="Y206" s="232">
        <v>1.6</v>
      </c>
      <c r="Z206" s="228" t="s">
        <v>639</v>
      </c>
      <c r="AE206" s="184"/>
      <c r="AF206" s="184">
        <v>12.9</v>
      </c>
    </row>
    <row r="207" spans="1:32" s="1" customFormat="1" ht="19.5" customHeight="1" x14ac:dyDescent="0.3">
      <c r="A207" s="201"/>
      <c r="B207" s="396"/>
      <c r="C207" s="357"/>
      <c r="D207" s="358" t="s">
        <v>170</v>
      </c>
      <c r="E207" s="358" t="s">
        <v>559</v>
      </c>
      <c r="F207" s="358">
        <v>5</v>
      </c>
      <c r="G207" s="358" t="s">
        <v>35</v>
      </c>
      <c r="H207" s="361">
        <v>12</v>
      </c>
      <c r="I207" s="361"/>
      <c r="J207" s="358">
        <v>45</v>
      </c>
      <c r="K207" s="358"/>
      <c r="L207" s="358"/>
      <c r="M207" s="358"/>
      <c r="N207" s="230"/>
      <c r="O207" s="358"/>
      <c r="P207" s="230"/>
      <c r="Q207" s="230"/>
      <c r="R207" s="230"/>
      <c r="S207" s="230"/>
      <c r="T207" s="231"/>
      <c r="U207" s="358"/>
      <c r="V207" s="358"/>
      <c r="W207" s="358"/>
      <c r="X207" s="358"/>
      <c r="Y207" s="232">
        <v>1.5</v>
      </c>
      <c r="Z207" s="228" t="s">
        <v>622</v>
      </c>
      <c r="AE207" s="184" t="s">
        <v>560</v>
      </c>
      <c r="AF207" s="184" t="e">
        <f>Y217+Y219+Y220+Y250+Y251+#REF!</f>
        <v>#REF!</v>
      </c>
    </row>
    <row r="208" spans="1:32" s="1" customFormat="1" ht="19.5" customHeight="1" x14ac:dyDescent="0.3">
      <c r="A208" s="201"/>
      <c r="B208" s="396"/>
      <c r="C208" s="357"/>
      <c r="D208" s="358" t="s">
        <v>61</v>
      </c>
      <c r="E208" s="358" t="s">
        <v>298</v>
      </c>
      <c r="F208" s="358">
        <v>5</v>
      </c>
      <c r="G208" s="361" t="s">
        <v>35</v>
      </c>
      <c r="H208" s="361">
        <v>14</v>
      </c>
      <c r="I208" s="361"/>
      <c r="J208" s="358">
        <v>45</v>
      </c>
      <c r="K208" s="358"/>
      <c r="L208" s="358"/>
      <c r="M208" s="358"/>
      <c r="N208" s="230"/>
      <c r="O208" s="358">
        <v>3</v>
      </c>
      <c r="P208" s="230"/>
      <c r="Q208" s="230"/>
      <c r="R208" s="230"/>
      <c r="S208" s="230"/>
      <c r="T208" s="231"/>
      <c r="U208" s="358"/>
      <c r="V208" s="358"/>
      <c r="W208" s="358"/>
      <c r="X208" s="358"/>
      <c r="Y208" s="232">
        <v>1.6</v>
      </c>
      <c r="Z208" s="228" t="s">
        <v>620</v>
      </c>
      <c r="AE208" s="184" t="s">
        <v>548</v>
      </c>
      <c r="AF208" s="184">
        <f>Y198+Y200+Y218+Y230+Y232+Y234+Y236+Y253+Y254+Y249+Y210+Y208+Y244</f>
        <v>21.000000000000004</v>
      </c>
    </row>
    <row r="209" spans="1:32" s="1" customFormat="1" ht="19.5" customHeight="1" x14ac:dyDescent="0.3">
      <c r="A209" s="201"/>
      <c r="B209" s="396"/>
      <c r="C209" s="357"/>
      <c r="D209" s="225" t="s">
        <v>44</v>
      </c>
      <c r="E209" s="361" t="s">
        <v>561</v>
      </c>
      <c r="F209" s="358">
        <v>5</v>
      </c>
      <c r="G209" s="361" t="s">
        <v>35</v>
      </c>
      <c r="H209" s="361">
        <v>15</v>
      </c>
      <c r="I209" s="361"/>
      <c r="J209" s="358">
        <v>45</v>
      </c>
      <c r="K209" s="358"/>
      <c r="L209" s="358"/>
      <c r="M209" s="358">
        <v>15</v>
      </c>
      <c r="N209" s="230"/>
      <c r="O209" s="358">
        <v>3</v>
      </c>
      <c r="P209" s="230"/>
      <c r="Q209" s="230"/>
      <c r="R209" s="230"/>
      <c r="S209" s="230"/>
      <c r="T209" s="231"/>
      <c r="U209" s="358"/>
      <c r="V209" s="358"/>
      <c r="W209" s="358"/>
      <c r="X209" s="358"/>
      <c r="Y209" s="232">
        <v>2.1</v>
      </c>
      <c r="Z209" s="228" t="s">
        <v>639</v>
      </c>
      <c r="AE209" s="184" t="s">
        <v>550</v>
      </c>
      <c r="AF209" s="184" t="e">
        <f>Y199+Y201+Y211+Y212+Y227+Y229+Y231+Y233+Y235+Y237+Y247+Y252+Y255+#REF!+Y213</f>
        <v>#REF!</v>
      </c>
    </row>
    <row r="210" spans="1:32" s="1" customFormat="1" ht="19.5" customHeight="1" x14ac:dyDescent="0.3">
      <c r="A210" s="201"/>
      <c r="B210" s="396"/>
      <c r="C210" s="357"/>
      <c r="D210" s="225" t="s">
        <v>44</v>
      </c>
      <c r="E210" s="361" t="s">
        <v>562</v>
      </c>
      <c r="F210" s="358">
        <v>5</v>
      </c>
      <c r="G210" s="361" t="s">
        <v>35</v>
      </c>
      <c r="H210" s="361">
        <v>15</v>
      </c>
      <c r="I210" s="361"/>
      <c r="J210" s="358">
        <v>45</v>
      </c>
      <c r="K210" s="358"/>
      <c r="L210" s="358"/>
      <c r="M210" s="358"/>
      <c r="N210" s="230"/>
      <c r="O210" s="358"/>
      <c r="P210" s="230"/>
      <c r="Q210" s="230"/>
      <c r="R210" s="230"/>
      <c r="S210" s="230"/>
      <c r="T210" s="231"/>
      <c r="U210" s="358"/>
      <c r="V210" s="358"/>
      <c r="W210" s="358"/>
      <c r="X210" s="358"/>
      <c r="Y210" s="232">
        <v>1.5</v>
      </c>
      <c r="Z210" s="228" t="s">
        <v>620</v>
      </c>
      <c r="AE210" s="184" t="s">
        <v>555</v>
      </c>
      <c r="AF210" s="184" t="e">
        <f>Y203+Y222+Y224+Y226+Y241+#REF!+Y205</f>
        <v>#REF!</v>
      </c>
    </row>
    <row r="211" spans="1:32" s="1" customFormat="1" ht="19.5" customHeight="1" x14ac:dyDescent="0.3">
      <c r="A211" s="201"/>
      <c r="B211" s="396"/>
      <c r="C211" s="357"/>
      <c r="D211" s="358" t="s">
        <v>49</v>
      </c>
      <c r="E211" s="358" t="s">
        <v>563</v>
      </c>
      <c r="F211" s="358">
        <v>5</v>
      </c>
      <c r="G211" s="358" t="s">
        <v>35</v>
      </c>
      <c r="H211" s="361">
        <v>13</v>
      </c>
      <c r="I211" s="361"/>
      <c r="J211" s="358">
        <v>45</v>
      </c>
      <c r="K211" s="358"/>
      <c r="L211" s="358"/>
      <c r="M211" s="358"/>
      <c r="N211" s="230"/>
      <c r="O211" s="358">
        <v>3</v>
      </c>
      <c r="P211" s="230"/>
      <c r="Q211" s="230"/>
      <c r="R211" s="230"/>
      <c r="S211" s="230"/>
      <c r="T211" s="231"/>
      <c r="U211" s="358"/>
      <c r="V211" s="358"/>
      <c r="W211" s="358"/>
      <c r="X211" s="358"/>
      <c r="Y211" s="232">
        <v>1.6</v>
      </c>
      <c r="Z211" s="228" t="s">
        <v>621</v>
      </c>
      <c r="AE211" s="184" t="s">
        <v>564</v>
      </c>
      <c r="AF211" s="184">
        <f>Y202+Y207+Y221+Y223+Y225+Y240</f>
        <v>9.5</v>
      </c>
    </row>
    <row r="212" spans="1:32" s="1" customFormat="1" ht="19.5" customHeight="1" x14ac:dyDescent="0.3">
      <c r="A212" s="201"/>
      <c r="B212" s="396"/>
      <c r="C212" s="357"/>
      <c r="D212" s="358" t="s">
        <v>49</v>
      </c>
      <c r="E212" s="358" t="s">
        <v>565</v>
      </c>
      <c r="F212" s="358">
        <v>5</v>
      </c>
      <c r="G212" s="358" t="s">
        <v>35</v>
      </c>
      <c r="H212" s="361">
        <v>14</v>
      </c>
      <c r="I212" s="361"/>
      <c r="J212" s="358">
        <v>45</v>
      </c>
      <c r="K212" s="358"/>
      <c r="L212" s="358"/>
      <c r="M212" s="358"/>
      <c r="N212" s="230"/>
      <c r="O212" s="358"/>
      <c r="P212" s="230"/>
      <c r="Q212" s="230"/>
      <c r="R212" s="230"/>
      <c r="S212" s="230"/>
      <c r="T212" s="231"/>
      <c r="U212" s="358"/>
      <c r="V212" s="358"/>
      <c r="W212" s="358"/>
      <c r="X212" s="358"/>
      <c r="Y212" s="232">
        <v>1.5</v>
      </c>
      <c r="Z212" s="228" t="s">
        <v>621</v>
      </c>
      <c r="AE212" s="184" t="s">
        <v>533</v>
      </c>
      <c r="AF212" s="184">
        <f>Y204+Y206+Y209+Y214+Y215+Y216+Y238+Y242+Y243+Y245</f>
        <v>16.8</v>
      </c>
    </row>
    <row r="213" spans="1:32" s="1" customFormat="1" ht="19.5" customHeight="1" x14ac:dyDescent="0.3">
      <c r="A213" s="201"/>
      <c r="B213" s="396"/>
      <c r="C213" s="357"/>
      <c r="D213" s="358" t="s">
        <v>62</v>
      </c>
      <c r="E213" s="358" t="s">
        <v>292</v>
      </c>
      <c r="F213" s="358">
        <v>5</v>
      </c>
      <c r="G213" s="361" t="s">
        <v>35</v>
      </c>
      <c r="H213" s="361">
        <v>16</v>
      </c>
      <c r="I213" s="361"/>
      <c r="J213" s="358">
        <v>45</v>
      </c>
      <c r="K213" s="358"/>
      <c r="L213" s="358"/>
      <c r="M213" s="358"/>
      <c r="N213" s="230"/>
      <c r="O213" s="358">
        <v>3</v>
      </c>
      <c r="P213" s="230"/>
      <c r="Q213" s="230"/>
      <c r="R213" s="230"/>
      <c r="S213" s="230"/>
      <c r="T213" s="231"/>
      <c r="U213" s="358"/>
      <c r="V213" s="358"/>
      <c r="W213" s="358"/>
      <c r="X213" s="358"/>
      <c r="Y213" s="232">
        <v>1.6</v>
      </c>
      <c r="Z213" s="228" t="s">
        <v>621</v>
      </c>
      <c r="AE213" s="184"/>
      <c r="AF213" s="184" t="e">
        <f>SUM(AF206:AF212)</f>
        <v>#REF!</v>
      </c>
    </row>
    <row r="214" spans="1:32" s="1" customFormat="1" ht="19.5" customHeight="1" x14ac:dyDescent="0.3">
      <c r="A214" s="201"/>
      <c r="B214" s="396"/>
      <c r="C214" s="357"/>
      <c r="D214" s="361" t="s">
        <v>210</v>
      </c>
      <c r="E214" s="361" t="s">
        <v>293</v>
      </c>
      <c r="F214" s="358">
        <v>5</v>
      </c>
      <c r="G214" s="361" t="s">
        <v>35</v>
      </c>
      <c r="H214" s="361">
        <v>15</v>
      </c>
      <c r="I214" s="361"/>
      <c r="J214" s="358">
        <v>45</v>
      </c>
      <c r="K214" s="358"/>
      <c r="L214" s="358"/>
      <c r="M214" s="358"/>
      <c r="N214" s="230"/>
      <c r="O214" s="358">
        <v>3</v>
      </c>
      <c r="P214" s="230"/>
      <c r="Q214" s="230"/>
      <c r="R214" s="230"/>
      <c r="S214" s="230"/>
      <c r="T214" s="231"/>
      <c r="U214" s="358"/>
      <c r="V214" s="358"/>
      <c r="W214" s="358"/>
      <c r="X214" s="358"/>
      <c r="Y214" s="232">
        <v>1.6</v>
      </c>
      <c r="Z214" s="228" t="s">
        <v>639</v>
      </c>
      <c r="AE214" s="184"/>
      <c r="AF214" s="184"/>
    </row>
    <row r="215" spans="1:32" s="1" customFormat="1" ht="19.5" customHeight="1" x14ac:dyDescent="0.3">
      <c r="A215" s="201"/>
      <c r="B215" s="396"/>
      <c r="C215" s="357"/>
      <c r="D215" s="225" t="s">
        <v>43</v>
      </c>
      <c r="E215" s="361" t="s">
        <v>566</v>
      </c>
      <c r="F215" s="358">
        <v>5</v>
      </c>
      <c r="G215" s="361" t="s">
        <v>35</v>
      </c>
      <c r="H215" s="361">
        <v>11</v>
      </c>
      <c r="I215" s="361"/>
      <c r="J215" s="358">
        <v>45</v>
      </c>
      <c r="K215" s="358"/>
      <c r="L215" s="358"/>
      <c r="M215" s="358"/>
      <c r="N215" s="230"/>
      <c r="O215" s="358">
        <v>3</v>
      </c>
      <c r="P215" s="230"/>
      <c r="Q215" s="230"/>
      <c r="R215" s="230"/>
      <c r="S215" s="230"/>
      <c r="T215" s="231"/>
      <c r="U215" s="358"/>
      <c r="V215" s="358"/>
      <c r="W215" s="358"/>
      <c r="X215" s="358"/>
      <c r="Y215" s="232">
        <v>1.6</v>
      </c>
      <c r="Z215" s="228" t="s">
        <v>639</v>
      </c>
      <c r="AE215" s="184"/>
      <c r="AF215" s="184"/>
    </row>
    <row r="216" spans="1:32" s="1" customFormat="1" ht="19.5" customHeight="1" x14ac:dyDescent="0.3">
      <c r="A216" s="201"/>
      <c r="B216" s="396"/>
      <c r="C216" s="357"/>
      <c r="D216" s="225" t="s">
        <v>43</v>
      </c>
      <c r="E216" s="361" t="s">
        <v>567</v>
      </c>
      <c r="F216" s="358">
        <v>5</v>
      </c>
      <c r="G216" s="361" t="s">
        <v>35</v>
      </c>
      <c r="H216" s="361">
        <v>12</v>
      </c>
      <c r="I216" s="361"/>
      <c r="J216" s="358">
        <v>45</v>
      </c>
      <c r="K216" s="358"/>
      <c r="L216" s="358"/>
      <c r="M216" s="358"/>
      <c r="N216" s="230"/>
      <c r="O216" s="358">
        <v>3</v>
      </c>
      <c r="P216" s="230"/>
      <c r="Q216" s="230"/>
      <c r="R216" s="230"/>
      <c r="S216" s="230"/>
      <c r="T216" s="231"/>
      <c r="U216" s="358"/>
      <c r="V216" s="358"/>
      <c r="W216" s="358"/>
      <c r="X216" s="358"/>
      <c r="Y216" s="232">
        <v>1.5</v>
      </c>
      <c r="Z216" s="228" t="s">
        <v>639</v>
      </c>
      <c r="AE216" s="184"/>
      <c r="AF216" s="184"/>
    </row>
    <row r="217" spans="1:32" s="1" customFormat="1" ht="19.5" customHeight="1" x14ac:dyDescent="0.3">
      <c r="A217" s="201"/>
      <c r="B217" s="396"/>
      <c r="C217" s="357"/>
      <c r="D217" s="361" t="s">
        <v>60</v>
      </c>
      <c r="E217" s="361" t="s">
        <v>568</v>
      </c>
      <c r="F217" s="358">
        <v>5</v>
      </c>
      <c r="G217" s="358" t="s">
        <v>35</v>
      </c>
      <c r="H217" s="361">
        <v>15</v>
      </c>
      <c r="I217" s="361"/>
      <c r="J217" s="358">
        <v>45</v>
      </c>
      <c r="K217" s="358"/>
      <c r="L217" s="358"/>
      <c r="M217" s="358"/>
      <c r="N217" s="230"/>
      <c r="O217" s="358">
        <v>3</v>
      </c>
      <c r="P217" s="230"/>
      <c r="Q217" s="230"/>
      <c r="R217" s="230"/>
      <c r="S217" s="230"/>
      <c r="T217" s="231"/>
      <c r="U217" s="358"/>
      <c r="V217" s="358"/>
      <c r="W217" s="358"/>
      <c r="X217" s="358"/>
      <c r="Y217" s="232">
        <v>1.6</v>
      </c>
      <c r="Z217" s="228" t="s">
        <v>624</v>
      </c>
      <c r="AE217" s="184"/>
      <c r="AF217" s="184"/>
    </row>
    <row r="218" spans="1:32" s="1" customFormat="1" ht="19.5" customHeight="1" x14ac:dyDescent="0.3">
      <c r="A218" s="201"/>
      <c r="B218" s="396"/>
      <c r="C218" s="357"/>
      <c r="D218" s="361" t="s">
        <v>60</v>
      </c>
      <c r="E218" s="361" t="s">
        <v>569</v>
      </c>
      <c r="F218" s="358">
        <v>5</v>
      </c>
      <c r="G218" s="358" t="s">
        <v>35</v>
      </c>
      <c r="H218" s="361">
        <v>15</v>
      </c>
      <c r="I218" s="361"/>
      <c r="J218" s="358">
        <v>45</v>
      </c>
      <c r="K218" s="358"/>
      <c r="L218" s="358"/>
      <c r="M218" s="358"/>
      <c r="N218" s="230"/>
      <c r="O218" s="358"/>
      <c r="P218" s="230"/>
      <c r="Q218" s="230"/>
      <c r="R218" s="230"/>
      <c r="S218" s="230"/>
      <c r="T218" s="231"/>
      <c r="U218" s="358"/>
      <c r="V218" s="358"/>
      <c r="W218" s="358"/>
      <c r="X218" s="358"/>
      <c r="Y218" s="232">
        <v>1.5</v>
      </c>
      <c r="Z218" s="228" t="s">
        <v>620</v>
      </c>
      <c r="AE218" s="184"/>
      <c r="AF218" s="184"/>
    </row>
    <row r="219" spans="1:32" s="1" customFormat="1" ht="19.5" customHeight="1" x14ac:dyDescent="0.3">
      <c r="A219" s="201"/>
      <c r="B219" s="396"/>
      <c r="C219" s="357"/>
      <c r="D219" s="225" t="s">
        <v>114</v>
      </c>
      <c r="E219" s="358" t="s">
        <v>596</v>
      </c>
      <c r="F219" s="358">
        <v>5</v>
      </c>
      <c r="G219" s="361" t="s">
        <v>35</v>
      </c>
      <c r="H219" s="361">
        <v>15</v>
      </c>
      <c r="I219" s="361"/>
      <c r="J219" s="358">
        <v>45</v>
      </c>
      <c r="K219" s="358"/>
      <c r="L219" s="358"/>
      <c r="M219" s="358">
        <v>15</v>
      </c>
      <c r="N219" s="230"/>
      <c r="O219" s="358">
        <v>3</v>
      </c>
      <c r="P219" s="230"/>
      <c r="Q219" s="230"/>
      <c r="R219" s="230"/>
      <c r="S219" s="230"/>
      <c r="T219" s="231"/>
      <c r="U219" s="358"/>
      <c r="V219" s="358"/>
      <c r="W219" s="358"/>
      <c r="X219" s="358"/>
      <c r="Y219" s="232">
        <v>2.1</v>
      </c>
      <c r="Z219" s="228" t="s">
        <v>624</v>
      </c>
      <c r="AE219" s="184"/>
      <c r="AF219" s="184"/>
    </row>
    <row r="220" spans="1:32" s="1" customFormat="1" ht="19.5" customHeight="1" x14ac:dyDescent="0.3">
      <c r="A220" s="201"/>
      <c r="B220" s="396"/>
      <c r="C220" s="357"/>
      <c r="D220" s="225" t="s">
        <v>46</v>
      </c>
      <c r="E220" s="361" t="s">
        <v>301</v>
      </c>
      <c r="F220" s="358">
        <v>5</v>
      </c>
      <c r="G220" s="361" t="s">
        <v>35</v>
      </c>
      <c r="H220" s="361">
        <v>15</v>
      </c>
      <c r="I220" s="361"/>
      <c r="J220" s="358">
        <v>45</v>
      </c>
      <c r="K220" s="358"/>
      <c r="L220" s="358"/>
      <c r="M220" s="358"/>
      <c r="N220" s="230"/>
      <c r="O220" s="358">
        <v>3</v>
      </c>
      <c r="P220" s="230"/>
      <c r="Q220" s="230"/>
      <c r="R220" s="230"/>
      <c r="S220" s="230"/>
      <c r="T220" s="231"/>
      <c r="U220" s="358"/>
      <c r="V220" s="358"/>
      <c r="W220" s="358"/>
      <c r="X220" s="358"/>
      <c r="Y220" s="232">
        <v>1.6</v>
      </c>
      <c r="Z220" s="228" t="s">
        <v>624</v>
      </c>
      <c r="AE220" s="184"/>
      <c r="AF220" s="184"/>
    </row>
    <row r="221" spans="1:32" s="1" customFormat="1" ht="19.5" customHeight="1" x14ac:dyDescent="0.3">
      <c r="A221" s="201"/>
      <c r="B221" s="396"/>
      <c r="C221" s="357"/>
      <c r="D221" s="361" t="s">
        <v>81</v>
      </c>
      <c r="E221" s="361" t="s">
        <v>570</v>
      </c>
      <c r="F221" s="358">
        <v>5</v>
      </c>
      <c r="G221" s="361" t="s">
        <v>35</v>
      </c>
      <c r="H221" s="361">
        <v>15</v>
      </c>
      <c r="I221" s="361"/>
      <c r="J221" s="358">
        <v>45</v>
      </c>
      <c r="K221" s="358"/>
      <c r="L221" s="358"/>
      <c r="M221" s="358"/>
      <c r="N221" s="230"/>
      <c r="O221" s="358">
        <v>3</v>
      </c>
      <c r="P221" s="230"/>
      <c r="Q221" s="230"/>
      <c r="R221" s="230"/>
      <c r="S221" s="230"/>
      <c r="T221" s="231"/>
      <c r="U221" s="358"/>
      <c r="V221" s="358"/>
      <c r="W221" s="358"/>
      <c r="X221" s="358"/>
      <c r="Y221" s="232">
        <v>1.6</v>
      </c>
      <c r="Z221" s="228" t="s">
        <v>622</v>
      </c>
      <c r="AE221" s="184"/>
      <c r="AF221" s="184"/>
    </row>
    <row r="222" spans="1:32" s="1" customFormat="1" ht="19.5" customHeight="1" x14ac:dyDescent="0.3">
      <c r="A222" s="201"/>
      <c r="B222" s="396"/>
      <c r="C222" s="357"/>
      <c r="D222" s="361" t="s">
        <v>81</v>
      </c>
      <c r="E222" s="361" t="s">
        <v>571</v>
      </c>
      <c r="F222" s="358">
        <v>5</v>
      </c>
      <c r="G222" s="361" t="s">
        <v>35</v>
      </c>
      <c r="H222" s="361">
        <v>15</v>
      </c>
      <c r="I222" s="361"/>
      <c r="J222" s="358">
        <v>45</v>
      </c>
      <c r="K222" s="358"/>
      <c r="L222" s="358"/>
      <c r="M222" s="358"/>
      <c r="N222" s="230"/>
      <c r="O222" s="358"/>
      <c r="P222" s="230"/>
      <c r="Q222" s="230"/>
      <c r="R222" s="230"/>
      <c r="S222" s="230"/>
      <c r="T222" s="231"/>
      <c r="U222" s="358"/>
      <c r="V222" s="358"/>
      <c r="W222" s="358"/>
      <c r="X222" s="358"/>
      <c r="Y222" s="232">
        <v>1.5</v>
      </c>
      <c r="Z222" s="228" t="s">
        <v>623</v>
      </c>
      <c r="AE222" s="184"/>
      <c r="AF222" s="184"/>
    </row>
    <row r="223" spans="1:32" s="1" customFormat="1" ht="19.5" customHeight="1" x14ac:dyDescent="0.3">
      <c r="A223" s="201"/>
      <c r="B223" s="396"/>
      <c r="C223" s="357"/>
      <c r="D223" s="361" t="s">
        <v>81</v>
      </c>
      <c r="E223" s="361" t="s">
        <v>572</v>
      </c>
      <c r="F223" s="358">
        <v>5</v>
      </c>
      <c r="G223" s="361" t="s">
        <v>35</v>
      </c>
      <c r="H223" s="361">
        <v>15</v>
      </c>
      <c r="I223" s="361"/>
      <c r="J223" s="358">
        <v>45</v>
      </c>
      <c r="K223" s="358"/>
      <c r="L223" s="358"/>
      <c r="M223" s="358"/>
      <c r="N223" s="230"/>
      <c r="O223" s="358">
        <v>3</v>
      </c>
      <c r="P223" s="230"/>
      <c r="Q223" s="230"/>
      <c r="R223" s="230"/>
      <c r="S223" s="230"/>
      <c r="T223" s="231"/>
      <c r="U223" s="358"/>
      <c r="V223" s="358"/>
      <c r="W223" s="358"/>
      <c r="X223" s="358"/>
      <c r="Y223" s="232">
        <v>1.6</v>
      </c>
      <c r="Z223" s="228" t="s">
        <v>622</v>
      </c>
      <c r="AE223" s="184"/>
      <c r="AF223" s="184"/>
    </row>
    <row r="224" spans="1:32" s="1" customFormat="1" ht="19.5" customHeight="1" x14ac:dyDescent="0.3">
      <c r="A224" s="201"/>
      <c r="B224" s="396"/>
      <c r="C224" s="357"/>
      <c r="D224" s="361" t="s">
        <v>81</v>
      </c>
      <c r="E224" s="361" t="s">
        <v>573</v>
      </c>
      <c r="F224" s="358">
        <v>5</v>
      </c>
      <c r="G224" s="361" t="s">
        <v>35</v>
      </c>
      <c r="H224" s="361">
        <v>15</v>
      </c>
      <c r="I224" s="361"/>
      <c r="J224" s="358">
        <v>45</v>
      </c>
      <c r="K224" s="358"/>
      <c r="L224" s="358"/>
      <c r="M224" s="358"/>
      <c r="N224" s="230"/>
      <c r="O224" s="358"/>
      <c r="P224" s="230"/>
      <c r="Q224" s="230"/>
      <c r="R224" s="230"/>
      <c r="S224" s="230"/>
      <c r="T224" s="231"/>
      <c r="U224" s="358"/>
      <c r="V224" s="358"/>
      <c r="W224" s="358"/>
      <c r="X224" s="358"/>
      <c r="Y224" s="232">
        <v>1.5</v>
      </c>
      <c r="Z224" s="228" t="s">
        <v>623</v>
      </c>
      <c r="AE224" s="184"/>
      <c r="AF224" s="184"/>
    </row>
    <row r="225" spans="1:32" s="1" customFormat="1" ht="19.5" customHeight="1" x14ac:dyDescent="0.3">
      <c r="A225" s="201"/>
      <c r="B225" s="396"/>
      <c r="C225" s="357"/>
      <c r="D225" s="361" t="s">
        <v>81</v>
      </c>
      <c r="E225" s="361" t="s">
        <v>574</v>
      </c>
      <c r="F225" s="358">
        <v>5</v>
      </c>
      <c r="G225" s="361" t="s">
        <v>35</v>
      </c>
      <c r="H225" s="361">
        <v>15</v>
      </c>
      <c r="I225" s="361"/>
      <c r="J225" s="358">
        <v>45</v>
      </c>
      <c r="K225" s="358"/>
      <c r="L225" s="358"/>
      <c r="M225" s="358"/>
      <c r="N225" s="230"/>
      <c r="O225" s="358">
        <v>3</v>
      </c>
      <c r="P225" s="230"/>
      <c r="Q225" s="230"/>
      <c r="R225" s="230"/>
      <c r="S225" s="230"/>
      <c r="T225" s="231"/>
      <c r="U225" s="358"/>
      <c r="V225" s="358"/>
      <c r="W225" s="358"/>
      <c r="X225" s="358"/>
      <c r="Y225" s="232">
        <v>1.6</v>
      </c>
      <c r="Z225" s="228" t="s">
        <v>622</v>
      </c>
      <c r="AE225" s="184"/>
      <c r="AF225" s="184"/>
    </row>
    <row r="226" spans="1:32" s="1" customFormat="1" ht="19.5" customHeight="1" x14ac:dyDescent="0.3">
      <c r="A226" s="201"/>
      <c r="B226" s="396"/>
      <c r="C226" s="357"/>
      <c r="D226" s="361" t="s">
        <v>81</v>
      </c>
      <c r="E226" s="361" t="s">
        <v>575</v>
      </c>
      <c r="F226" s="358">
        <v>5</v>
      </c>
      <c r="G226" s="361" t="s">
        <v>35</v>
      </c>
      <c r="H226" s="361">
        <v>15</v>
      </c>
      <c r="I226" s="361"/>
      <c r="J226" s="358">
        <v>45</v>
      </c>
      <c r="K226" s="358"/>
      <c r="L226" s="358"/>
      <c r="M226" s="358"/>
      <c r="N226" s="230"/>
      <c r="O226" s="358"/>
      <c r="P226" s="230"/>
      <c r="Q226" s="230"/>
      <c r="R226" s="230"/>
      <c r="S226" s="230"/>
      <c r="T226" s="231"/>
      <c r="U226" s="358"/>
      <c r="V226" s="358"/>
      <c r="W226" s="358"/>
      <c r="X226" s="358"/>
      <c r="Y226" s="232">
        <v>1.5</v>
      </c>
      <c r="Z226" s="228" t="s">
        <v>623</v>
      </c>
      <c r="AE226" s="184"/>
      <c r="AF226" s="184"/>
    </row>
    <row r="227" spans="1:32" s="1" customFormat="1" ht="19.5" customHeight="1" x14ac:dyDescent="0.3">
      <c r="A227" s="201"/>
      <c r="B227" s="396"/>
      <c r="C227" s="357"/>
      <c r="D227" s="225" t="s">
        <v>41</v>
      </c>
      <c r="E227" s="358" t="s">
        <v>318</v>
      </c>
      <c r="F227" s="358">
        <v>5</v>
      </c>
      <c r="G227" s="358" t="s">
        <v>35</v>
      </c>
      <c r="H227" s="361">
        <v>7</v>
      </c>
      <c r="I227" s="361"/>
      <c r="J227" s="358">
        <v>45</v>
      </c>
      <c r="K227" s="358"/>
      <c r="L227" s="358"/>
      <c r="M227" s="358">
        <v>15</v>
      </c>
      <c r="N227" s="230"/>
      <c r="O227" s="358">
        <v>3</v>
      </c>
      <c r="P227" s="230"/>
      <c r="Q227" s="230"/>
      <c r="R227" s="230"/>
      <c r="S227" s="230"/>
      <c r="T227" s="231"/>
      <c r="U227" s="358"/>
      <c r="V227" s="358"/>
      <c r="W227" s="358"/>
      <c r="X227" s="358"/>
      <c r="Y227" s="232">
        <v>2.1</v>
      </c>
      <c r="Z227" s="228" t="s">
        <v>621</v>
      </c>
      <c r="AE227" s="184"/>
      <c r="AF227" s="184"/>
    </row>
    <row r="228" spans="1:32" s="1" customFormat="1" ht="19.5" customHeight="1" x14ac:dyDescent="0.3">
      <c r="A228" s="201"/>
      <c r="B228" s="396"/>
      <c r="C228" s="357"/>
      <c r="D228" s="358" t="s">
        <v>51</v>
      </c>
      <c r="E228" s="358" t="s">
        <v>576</v>
      </c>
      <c r="F228" s="358">
        <v>5</v>
      </c>
      <c r="G228" s="361" t="s">
        <v>35</v>
      </c>
      <c r="H228" s="361">
        <v>10</v>
      </c>
      <c r="I228" s="361"/>
      <c r="J228" s="358"/>
      <c r="K228" s="358"/>
      <c r="L228" s="358"/>
      <c r="M228" s="358"/>
      <c r="N228" s="230"/>
      <c r="O228" s="358"/>
      <c r="P228" s="230"/>
      <c r="Q228" s="230"/>
      <c r="R228" s="230"/>
      <c r="S228" s="230"/>
      <c r="T228" s="231"/>
      <c r="U228" s="358"/>
      <c r="V228" s="358"/>
      <c r="W228" s="358"/>
      <c r="X228" s="358"/>
      <c r="Y228" s="232"/>
      <c r="Z228" s="228" t="s">
        <v>621</v>
      </c>
      <c r="AE228" s="184"/>
      <c r="AF228" s="184"/>
    </row>
    <row r="229" spans="1:32" s="1" customFormat="1" ht="19.5" customHeight="1" x14ac:dyDescent="0.3">
      <c r="A229" s="201"/>
      <c r="B229" s="396"/>
      <c r="C229" s="357"/>
      <c r="D229" s="358" t="s">
        <v>51</v>
      </c>
      <c r="E229" s="358" t="s">
        <v>577</v>
      </c>
      <c r="F229" s="358">
        <v>5</v>
      </c>
      <c r="G229" s="361" t="s">
        <v>35</v>
      </c>
      <c r="H229" s="361">
        <v>16</v>
      </c>
      <c r="I229" s="361"/>
      <c r="J229" s="358">
        <v>45</v>
      </c>
      <c r="K229" s="358"/>
      <c r="L229" s="358"/>
      <c r="M229" s="358"/>
      <c r="N229" s="230"/>
      <c r="O229" s="358"/>
      <c r="P229" s="230"/>
      <c r="Q229" s="230"/>
      <c r="R229" s="230"/>
      <c r="S229" s="230"/>
      <c r="T229" s="231"/>
      <c r="U229" s="358"/>
      <c r="V229" s="358"/>
      <c r="W229" s="358"/>
      <c r="X229" s="358"/>
      <c r="Y229" s="232">
        <v>1.5</v>
      </c>
      <c r="Z229" s="228" t="s">
        <v>621</v>
      </c>
      <c r="AE229" s="184"/>
      <c r="AF229" s="184"/>
    </row>
    <row r="230" spans="1:32" s="1" customFormat="1" ht="19.5" customHeight="1" x14ac:dyDescent="0.3">
      <c r="A230" s="201"/>
      <c r="B230" s="396"/>
      <c r="C230" s="357"/>
      <c r="D230" s="225" t="s">
        <v>52</v>
      </c>
      <c r="E230" s="361" t="s">
        <v>578</v>
      </c>
      <c r="F230" s="358">
        <v>5</v>
      </c>
      <c r="G230" s="361" t="s">
        <v>35</v>
      </c>
      <c r="H230" s="361">
        <v>15</v>
      </c>
      <c r="I230" s="361"/>
      <c r="J230" s="358">
        <v>45</v>
      </c>
      <c r="K230" s="358"/>
      <c r="L230" s="358"/>
      <c r="M230" s="358"/>
      <c r="N230" s="230"/>
      <c r="O230" s="358">
        <v>3</v>
      </c>
      <c r="P230" s="230"/>
      <c r="Q230" s="230"/>
      <c r="R230" s="230"/>
      <c r="S230" s="230"/>
      <c r="T230" s="231"/>
      <c r="U230" s="358"/>
      <c r="V230" s="358"/>
      <c r="W230" s="358"/>
      <c r="X230" s="358"/>
      <c r="Y230" s="232">
        <v>1.6</v>
      </c>
      <c r="Z230" s="228" t="s">
        <v>620</v>
      </c>
      <c r="AE230" s="184"/>
      <c r="AF230" s="184"/>
    </row>
    <row r="231" spans="1:32" s="1" customFormat="1" ht="19.5" customHeight="1" x14ac:dyDescent="0.3">
      <c r="A231" s="201"/>
      <c r="B231" s="396"/>
      <c r="C231" s="357"/>
      <c r="D231" s="225" t="s">
        <v>52</v>
      </c>
      <c r="E231" s="361" t="s">
        <v>579</v>
      </c>
      <c r="F231" s="358">
        <v>5</v>
      </c>
      <c r="G231" s="361" t="s">
        <v>35</v>
      </c>
      <c r="H231" s="361">
        <v>15</v>
      </c>
      <c r="I231" s="361"/>
      <c r="J231" s="358">
        <v>45</v>
      </c>
      <c r="K231" s="358"/>
      <c r="L231" s="358"/>
      <c r="M231" s="358"/>
      <c r="N231" s="230"/>
      <c r="O231" s="358"/>
      <c r="P231" s="230"/>
      <c r="Q231" s="230"/>
      <c r="R231" s="230"/>
      <c r="S231" s="230"/>
      <c r="T231" s="231"/>
      <c r="U231" s="358"/>
      <c r="V231" s="358"/>
      <c r="W231" s="358"/>
      <c r="X231" s="358"/>
      <c r="Y231" s="232">
        <v>1.5</v>
      </c>
      <c r="Z231" s="228" t="s">
        <v>621</v>
      </c>
      <c r="AC231" s="1" t="e">
        <f>Y199+Y201+Y231+Y233+Y235+Y237+Y252+Y255+Y227+Y229+Y247+#REF!+Y211+Y212</f>
        <v>#REF!</v>
      </c>
      <c r="AE231" s="184"/>
      <c r="AF231" s="184"/>
    </row>
    <row r="232" spans="1:32" s="1" customFormat="1" ht="19.5" customHeight="1" x14ac:dyDescent="0.3">
      <c r="A232" s="201"/>
      <c r="B232" s="396"/>
      <c r="C232" s="357"/>
      <c r="D232" s="225" t="s">
        <v>52</v>
      </c>
      <c r="E232" s="361" t="s">
        <v>580</v>
      </c>
      <c r="F232" s="358">
        <v>5</v>
      </c>
      <c r="G232" s="361" t="s">
        <v>35</v>
      </c>
      <c r="H232" s="361">
        <v>15</v>
      </c>
      <c r="I232" s="361"/>
      <c r="J232" s="358">
        <v>45</v>
      </c>
      <c r="K232" s="358"/>
      <c r="L232" s="358"/>
      <c r="M232" s="358"/>
      <c r="N232" s="230"/>
      <c r="O232" s="358">
        <v>3</v>
      </c>
      <c r="P232" s="230"/>
      <c r="Q232" s="230"/>
      <c r="R232" s="230"/>
      <c r="S232" s="230"/>
      <c r="T232" s="231"/>
      <c r="U232" s="358"/>
      <c r="V232" s="358"/>
      <c r="W232" s="358"/>
      <c r="X232" s="358"/>
      <c r="Y232" s="232">
        <v>1.6</v>
      </c>
      <c r="Z232" s="228" t="s">
        <v>620</v>
      </c>
      <c r="AE232" s="184"/>
      <c r="AF232" s="184"/>
    </row>
    <row r="233" spans="1:32" s="1" customFormat="1" ht="19.5" customHeight="1" x14ac:dyDescent="0.3">
      <c r="A233" s="201"/>
      <c r="B233" s="396"/>
      <c r="C233" s="357"/>
      <c r="D233" s="225" t="s">
        <v>52</v>
      </c>
      <c r="E233" s="361" t="s">
        <v>581</v>
      </c>
      <c r="F233" s="358">
        <v>5</v>
      </c>
      <c r="G233" s="361" t="s">
        <v>35</v>
      </c>
      <c r="H233" s="361">
        <v>15</v>
      </c>
      <c r="I233" s="361"/>
      <c r="J233" s="358">
        <v>45</v>
      </c>
      <c r="K233" s="358"/>
      <c r="L233" s="358"/>
      <c r="M233" s="358"/>
      <c r="N233" s="230"/>
      <c r="O233" s="358"/>
      <c r="P233" s="230"/>
      <c r="Q233" s="230"/>
      <c r="R233" s="230"/>
      <c r="S233" s="230"/>
      <c r="T233" s="231"/>
      <c r="U233" s="358"/>
      <c r="V233" s="358"/>
      <c r="W233" s="358"/>
      <c r="X233" s="358"/>
      <c r="Y233" s="232">
        <v>1.5</v>
      </c>
      <c r="Z233" s="228" t="s">
        <v>621</v>
      </c>
      <c r="AE233" s="184"/>
      <c r="AF233" s="184"/>
    </row>
    <row r="234" spans="1:32" s="1" customFormat="1" ht="19.5" customHeight="1" x14ac:dyDescent="0.3">
      <c r="A234" s="201"/>
      <c r="B234" s="396"/>
      <c r="C234" s="357"/>
      <c r="D234" s="225" t="s">
        <v>52</v>
      </c>
      <c r="E234" s="361" t="s">
        <v>582</v>
      </c>
      <c r="F234" s="358">
        <v>5</v>
      </c>
      <c r="G234" s="361" t="s">
        <v>35</v>
      </c>
      <c r="H234" s="361">
        <v>15</v>
      </c>
      <c r="I234" s="361"/>
      <c r="J234" s="358">
        <v>45</v>
      </c>
      <c r="K234" s="358"/>
      <c r="L234" s="358"/>
      <c r="M234" s="358"/>
      <c r="N234" s="230"/>
      <c r="O234" s="358">
        <v>3</v>
      </c>
      <c r="P234" s="230"/>
      <c r="Q234" s="230"/>
      <c r="R234" s="230"/>
      <c r="S234" s="230"/>
      <c r="T234" s="231"/>
      <c r="U234" s="358"/>
      <c r="V234" s="358"/>
      <c r="W234" s="358"/>
      <c r="X234" s="358"/>
      <c r="Y234" s="232">
        <v>1.6</v>
      </c>
      <c r="Z234" s="228" t="s">
        <v>620</v>
      </c>
      <c r="AE234" s="184"/>
      <c r="AF234" s="184"/>
    </row>
    <row r="235" spans="1:32" s="1" customFormat="1" ht="19.5" customHeight="1" x14ac:dyDescent="0.3">
      <c r="A235" s="201"/>
      <c r="B235" s="396"/>
      <c r="C235" s="357"/>
      <c r="D235" s="225" t="s">
        <v>52</v>
      </c>
      <c r="E235" s="361" t="s">
        <v>583</v>
      </c>
      <c r="F235" s="358">
        <v>5</v>
      </c>
      <c r="G235" s="361" t="s">
        <v>35</v>
      </c>
      <c r="H235" s="361">
        <v>14</v>
      </c>
      <c r="I235" s="361"/>
      <c r="J235" s="358">
        <v>45</v>
      </c>
      <c r="K235" s="358"/>
      <c r="L235" s="358"/>
      <c r="M235" s="358"/>
      <c r="N235" s="230"/>
      <c r="O235" s="358"/>
      <c r="P235" s="230"/>
      <c r="Q235" s="230"/>
      <c r="R235" s="230"/>
      <c r="S235" s="230"/>
      <c r="T235" s="231"/>
      <c r="U235" s="358"/>
      <c r="V235" s="358"/>
      <c r="W235" s="358"/>
      <c r="X235" s="358"/>
      <c r="Y235" s="232">
        <v>1.5</v>
      </c>
      <c r="Z235" s="228" t="s">
        <v>621</v>
      </c>
      <c r="AE235" s="184"/>
      <c r="AF235" s="184"/>
    </row>
    <row r="236" spans="1:32" s="1" customFormat="1" ht="19.5" customHeight="1" x14ac:dyDescent="0.3">
      <c r="A236" s="201"/>
      <c r="B236" s="396"/>
      <c r="C236" s="357"/>
      <c r="D236" s="225" t="s">
        <v>52</v>
      </c>
      <c r="E236" s="361" t="s">
        <v>584</v>
      </c>
      <c r="F236" s="358">
        <v>5</v>
      </c>
      <c r="G236" s="361" t="s">
        <v>35</v>
      </c>
      <c r="H236" s="361">
        <v>15</v>
      </c>
      <c r="I236" s="361"/>
      <c r="J236" s="358">
        <v>45</v>
      </c>
      <c r="K236" s="358"/>
      <c r="L236" s="358"/>
      <c r="M236" s="358"/>
      <c r="N236" s="230"/>
      <c r="O236" s="358">
        <v>3</v>
      </c>
      <c r="P236" s="230"/>
      <c r="Q236" s="230"/>
      <c r="R236" s="230"/>
      <c r="S236" s="230"/>
      <c r="T236" s="231"/>
      <c r="U236" s="358"/>
      <c r="V236" s="358"/>
      <c r="W236" s="358"/>
      <c r="X236" s="358"/>
      <c r="Y236" s="232">
        <v>1.6</v>
      </c>
      <c r="Z236" s="228" t="s">
        <v>620</v>
      </c>
      <c r="AE236" s="184"/>
      <c r="AF236" s="184"/>
    </row>
    <row r="237" spans="1:32" s="1" customFormat="1" ht="19.5" customHeight="1" x14ac:dyDescent="0.3">
      <c r="A237" s="201"/>
      <c r="B237" s="396"/>
      <c r="C237" s="357"/>
      <c r="D237" s="225" t="s">
        <v>52</v>
      </c>
      <c r="E237" s="361" t="s">
        <v>585</v>
      </c>
      <c r="F237" s="358">
        <v>5</v>
      </c>
      <c r="G237" s="361" t="s">
        <v>35</v>
      </c>
      <c r="H237" s="361">
        <v>14</v>
      </c>
      <c r="I237" s="361"/>
      <c r="J237" s="358">
        <v>45</v>
      </c>
      <c r="K237" s="358"/>
      <c r="L237" s="358"/>
      <c r="M237" s="358"/>
      <c r="N237" s="230"/>
      <c r="O237" s="358"/>
      <c r="P237" s="230"/>
      <c r="Q237" s="230"/>
      <c r="R237" s="230"/>
      <c r="S237" s="230"/>
      <c r="T237" s="231"/>
      <c r="U237" s="358"/>
      <c r="V237" s="358"/>
      <c r="W237" s="358"/>
      <c r="X237" s="358"/>
      <c r="Y237" s="232">
        <v>1.5</v>
      </c>
      <c r="Z237" s="228" t="s">
        <v>621</v>
      </c>
      <c r="AE237" s="184"/>
      <c r="AF237" s="184"/>
    </row>
    <row r="238" spans="1:32" s="1" customFormat="1" ht="19.5" customHeight="1" x14ac:dyDescent="0.3">
      <c r="A238" s="201"/>
      <c r="B238" s="396"/>
      <c r="C238" s="357"/>
      <c r="D238" s="358" t="s">
        <v>62</v>
      </c>
      <c r="E238" s="358" t="s">
        <v>305</v>
      </c>
      <c r="F238" s="358">
        <v>5</v>
      </c>
      <c r="G238" s="358" t="s">
        <v>32</v>
      </c>
      <c r="H238" s="361">
        <v>8</v>
      </c>
      <c r="I238" s="361"/>
      <c r="J238" s="358">
        <v>45</v>
      </c>
      <c r="K238" s="358"/>
      <c r="L238" s="358"/>
      <c r="M238" s="358">
        <v>15</v>
      </c>
      <c r="N238" s="230"/>
      <c r="O238" s="358">
        <v>3</v>
      </c>
      <c r="P238" s="230"/>
      <c r="Q238" s="230"/>
      <c r="R238" s="230"/>
      <c r="S238" s="230"/>
      <c r="T238" s="231"/>
      <c r="U238" s="358"/>
      <c r="V238" s="358"/>
      <c r="W238" s="358"/>
      <c r="X238" s="358"/>
      <c r="Y238" s="232">
        <v>2.1</v>
      </c>
      <c r="Z238" s="228" t="s">
        <v>640</v>
      </c>
      <c r="AE238" s="184"/>
      <c r="AF238" s="184"/>
    </row>
    <row r="239" spans="1:32" s="1" customFormat="1" ht="19.5" customHeight="1" x14ac:dyDescent="0.3">
      <c r="A239" s="201"/>
      <c r="B239" s="396"/>
      <c r="C239" s="357"/>
      <c r="D239" s="361" t="s">
        <v>210</v>
      </c>
      <c r="E239" s="361" t="s">
        <v>323</v>
      </c>
      <c r="F239" s="358">
        <v>5</v>
      </c>
      <c r="G239" s="358" t="s">
        <v>32</v>
      </c>
      <c r="H239" s="361">
        <v>4</v>
      </c>
      <c r="I239" s="361"/>
      <c r="J239" s="358"/>
      <c r="K239" s="358"/>
      <c r="L239" s="358"/>
      <c r="M239" s="358"/>
      <c r="N239" s="230"/>
      <c r="O239" s="358"/>
      <c r="P239" s="230"/>
      <c r="Q239" s="230"/>
      <c r="R239" s="230"/>
      <c r="S239" s="230"/>
      <c r="T239" s="231"/>
      <c r="U239" s="358"/>
      <c r="V239" s="358"/>
      <c r="W239" s="358"/>
      <c r="X239" s="358"/>
      <c r="Y239" s="232"/>
      <c r="Z239" s="228" t="s">
        <v>640</v>
      </c>
      <c r="AE239" s="184"/>
      <c r="AF239" s="184"/>
    </row>
    <row r="240" spans="1:32" s="1" customFormat="1" ht="19.5" customHeight="1" x14ac:dyDescent="0.3">
      <c r="A240" s="201"/>
      <c r="B240" s="396"/>
      <c r="C240" s="357"/>
      <c r="D240" s="361" t="s">
        <v>81</v>
      </c>
      <c r="E240" s="361" t="s">
        <v>600</v>
      </c>
      <c r="F240" s="358">
        <v>5</v>
      </c>
      <c r="G240" s="358" t="s">
        <v>32</v>
      </c>
      <c r="H240" s="361">
        <v>11</v>
      </c>
      <c r="I240" s="361"/>
      <c r="J240" s="358">
        <v>45</v>
      </c>
      <c r="K240" s="358"/>
      <c r="L240" s="358"/>
      <c r="M240" s="358"/>
      <c r="N240" s="230"/>
      <c r="O240" s="358">
        <v>3</v>
      </c>
      <c r="P240" s="230"/>
      <c r="Q240" s="230"/>
      <c r="R240" s="230"/>
      <c r="S240" s="230"/>
      <c r="T240" s="231"/>
      <c r="U240" s="358"/>
      <c r="V240" s="358"/>
      <c r="W240" s="358"/>
      <c r="X240" s="358"/>
      <c r="Y240" s="232">
        <v>1.6</v>
      </c>
      <c r="Z240" s="228" t="s">
        <v>625</v>
      </c>
      <c r="AE240" s="184"/>
      <c r="AF240" s="184"/>
    </row>
    <row r="241" spans="1:32" s="1" customFormat="1" ht="19.5" customHeight="1" x14ac:dyDescent="0.3">
      <c r="A241" s="201"/>
      <c r="B241" s="396"/>
      <c r="C241" s="357"/>
      <c r="D241" s="361" t="s">
        <v>81</v>
      </c>
      <c r="E241" s="361" t="s">
        <v>602</v>
      </c>
      <c r="F241" s="358">
        <v>5</v>
      </c>
      <c r="G241" s="358" t="s">
        <v>32</v>
      </c>
      <c r="H241" s="361">
        <v>10</v>
      </c>
      <c r="I241" s="361"/>
      <c r="J241" s="358">
        <v>45</v>
      </c>
      <c r="K241" s="358"/>
      <c r="L241" s="358"/>
      <c r="M241" s="358"/>
      <c r="N241" s="230"/>
      <c r="O241" s="358"/>
      <c r="P241" s="230"/>
      <c r="Q241" s="230"/>
      <c r="R241" s="230"/>
      <c r="S241" s="230"/>
      <c r="T241" s="231"/>
      <c r="U241" s="358"/>
      <c r="V241" s="358"/>
      <c r="W241" s="358"/>
      <c r="X241" s="358"/>
      <c r="Y241" s="232">
        <v>1.5</v>
      </c>
      <c r="Z241" s="228" t="s">
        <v>626</v>
      </c>
      <c r="AE241" s="184"/>
      <c r="AF241" s="184"/>
    </row>
    <row r="242" spans="1:32" s="1" customFormat="1" ht="19.5" customHeight="1" x14ac:dyDescent="0.3">
      <c r="A242" s="201"/>
      <c r="B242" s="396"/>
      <c r="C242" s="357"/>
      <c r="D242" s="358" t="s">
        <v>170</v>
      </c>
      <c r="E242" s="358" t="s">
        <v>586</v>
      </c>
      <c r="F242" s="358">
        <v>5</v>
      </c>
      <c r="G242" s="358" t="s">
        <v>32</v>
      </c>
      <c r="H242" s="361">
        <v>11</v>
      </c>
      <c r="I242" s="361"/>
      <c r="J242" s="358">
        <v>45</v>
      </c>
      <c r="K242" s="358"/>
      <c r="L242" s="358"/>
      <c r="M242" s="358"/>
      <c r="N242" s="230"/>
      <c r="O242" s="358">
        <v>3</v>
      </c>
      <c r="P242" s="230"/>
      <c r="Q242" s="230"/>
      <c r="R242" s="230"/>
      <c r="S242" s="230"/>
      <c r="T242" s="231"/>
      <c r="U242" s="358"/>
      <c r="V242" s="358"/>
      <c r="W242" s="358"/>
      <c r="X242" s="358"/>
      <c r="Y242" s="232">
        <v>1.6</v>
      </c>
      <c r="Z242" s="228" t="s">
        <v>640</v>
      </c>
      <c r="AE242" s="184"/>
      <c r="AF242" s="184"/>
    </row>
    <row r="243" spans="1:32" s="1" customFormat="1" ht="19.5" customHeight="1" x14ac:dyDescent="0.3">
      <c r="A243" s="201"/>
      <c r="B243" s="396"/>
      <c r="C243" s="357"/>
      <c r="D243" s="358" t="s">
        <v>170</v>
      </c>
      <c r="E243" s="358" t="s">
        <v>587</v>
      </c>
      <c r="F243" s="358">
        <v>5</v>
      </c>
      <c r="G243" s="358" t="s">
        <v>32</v>
      </c>
      <c r="H243" s="361">
        <v>10</v>
      </c>
      <c r="I243" s="361"/>
      <c r="J243" s="358">
        <v>45</v>
      </c>
      <c r="K243" s="358"/>
      <c r="L243" s="358"/>
      <c r="M243" s="358"/>
      <c r="N243" s="230"/>
      <c r="O243" s="358"/>
      <c r="P243" s="230"/>
      <c r="Q243" s="230"/>
      <c r="R243" s="230"/>
      <c r="S243" s="230"/>
      <c r="T243" s="231"/>
      <c r="U243" s="358"/>
      <c r="V243" s="358"/>
      <c r="W243" s="358"/>
      <c r="X243" s="358"/>
      <c r="Y243" s="232">
        <v>1.5</v>
      </c>
      <c r="Z243" s="228" t="s">
        <v>640</v>
      </c>
      <c r="AE243" s="184"/>
      <c r="AF243" s="184"/>
    </row>
    <row r="244" spans="1:32" s="1" customFormat="1" ht="19.5" customHeight="1" x14ac:dyDescent="0.3">
      <c r="A244" s="201"/>
      <c r="B244" s="396"/>
      <c r="C244" s="357"/>
      <c r="D244" s="358" t="s">
        <v>61</v>
      </c>
      <c r="E244" s="358" t="s">
        <v>307</v>
      </c>
      <c r="F244" s="358">
        <v>5</v>
      </c>
      <c r="G244" s="358" t="s">
        <v>32</v>
      </c>
      <c r="H244" s="361">
        <v>11</v>
      </c>
      <c r="I244" s="361"/>
      <c r="J244" s="358">
        <v>45</v>
      </c>
      <c r="K244" s="358"/>
      <c r="L244" s="358"/>
      <c r="M244" s="358"/>
      <c r="N244" s="230"/>
      <c r="O244" s="358">
        <v>3</v>
      </c>
      <c r="P244" s="230"/>
      <c r="Q244" s="230"/>
      <c r="R244" s="230"/>
      <c r="S244" s="230"/>
      <c r="T244" s="231"/>
      <c r="U244" s="358"/>
      <c r="V244" s="358"/>
      <c r="W244" s="358"/>
      <c r="X244" s="358"/>
      <c r="Y244" s="232">
        <v>1.6</v>
      </c>
      <c r="Z244" s="228" t="s">
        <v>627</v>
      </c>
      <c r="AE244" s="184"/>
      <c r="AF244" s="184"/>
    </row>
    <row r="245" spans="1:32" s="1" customFormat="1" ht="19.5" customHeight="1" x14ac:dyDescent="0.3">
      <c r="A245" s="201"/>
      <c r="B245" s="396"/>
      <c r="C245" s="357"/>
      <c r="D245" s="225" t="s">
        <v>44</v>
      </c>
      <c r="E245" s="361" t="s">
        <v>308</v>
      </c>
      <c r="F245" s="358">
        <v>5</v>
      </c>
      <c r="G245" s="358" t="s">
        <v>32</v>
      </c>
      <c r="H245" s="361">
        <v>7</v>
      </c>
      <c r="I245" s="361"/>
      <c r="J245" s="358">
        <v>45</v>
      </c>
      <c r="K245" s="358"/>
      <c r="L245" s="358"/>
      <c r="M245" s="358"/>
      <c r="N245" s="230"/>
      <c r="O245" s="358">
        <v>3</v>
      </c>
      <c r="P245" s="230"/>
      <c r="Q245" s="230"/>
      <c r="R245" s="230"/>
      <c r="S245" s="230"/>
      <c r="T245" s="231"/>
      <c r="U245" s="358"/>
      <c r="V245" s="358"/>
      <c r="W245" s="358"/>
      <c r="X245" s="358"/>
      <c r="Y245" s="232">
        <v>1.6</v>
      </c>
      <c r="Z245" s="228" t="s">
        <v>640</v>
      </c>
      <c r="AE245" s="184"/>
      <c r="AF245" s="184"/>
    </row>
    <row r="246" spans="1:32" s="1" customFormat="1" ht="19.5" customHeight="1" x14ac:dyDescent="0.3">
      <c r="A246" s="201"/>
      <c r="B246" s="396"/>
      <c r="C246" s="357"/>
      <c r="D246" s="225" t="s">
        <v>43</v>
      </c>
      <c r="E246" s="361" t="s">
        <v>309</v>
      </c>
      <c r="F246" s="358">
        <v>5</v>
      </c>
      <c r="G246" s="358" t="s">
        <v>32</v>
      </c>
      <c r="H246" s="361">
        <v>7</v>
      </c>
      <c r="I246" s="361"/>
      <c r="J246" s="358"/>
      <c r="K246" s="358"/>
      <c r="L246" s="358"/>
      <c r="M246" s="358"/>
      <c r="N246" s="230"/>
      <c r="O246" s="358"/>
      <c r="P246" s="230"/>
      <c r="Q246" s="230"/>
      <c r="R246" s="230"/>
      <c r="S246" s="230"/>
      <c r="T246" s="231"/>
      <c r="U246" s="358"/>
      <c r="V246" s="358"/>
      <c r="W246" s="358"/>
      <c r="X246" s="358"/>
      <c r="Y246" s="232"/>
      <c r="Z246" s="228" t="s">
        <v>640</v>
      </c>
      <c r="AE246" s="184"/>
      <c r="AF246" s="184"/>
    </row>
    <row r="247" spans="1:32" s="1" customFormat="1" ht="19.5" customHeight="1" x14ac:dyDescent="0.3">
      <c r="A247" s="201"/>
      <c r="B247" s="396"/>
      <c r="C247" s="357"/>
      <c r="D247" s="225" t="s">
        <v>41</v>
      </c>
      <c r="E247" s="358" t="s">
        <v>317</v>
      </c>
      <c r="F247" s="358">
        <v>5</v>
      </c>
      <c r="G247" s="358" t="s">
        <v>32</v>
      </c>
      <c r="H247" s="361">
        <v>6</v>
      </c>
      <c r="I247" s="361"/>
      <c r="J247" s="358">
        <v>45</v>
      </c>
      <c r="K247" s="358"/>
      <c r="L247" s="358"/>
      <c r="M247" s="358"/>
      <c r="N247" s="230"/>
      <c r="O247" s="358">
        <v>3</v>
      </c>
      <c r="P247" s="230"/>
      <c r="Q247" s="230"/>
      <c r="R247" s="230"/>
      <c r="S247" s="230"/>
      <c r="T247" s="231"/>
      <c r="U247" s="358"/>
      <c r="V247" s="358"/>
      <c r="W247" s="358"/>
      <c r="X247" s="358"/>
      <c r="Y247" s="232">
        <v>1.6</v>
      </c>
      <c r="Z247" s="228" t="s">
        <v>628</v>
      </c>
      <c r="AE247" s="184"/>
      <c r="AF247" s="184"/>
    </row>
    <row r="248" spans="1:32" s="1" customFormat="1" ht="19.5" customHeight="1" x14ac:dyDescent="0.3">
      <c r="A248" s="201"/>
      <c r="B248" s="396"/>
      <c r="C248" s="357"/>
      <c r="D248" s="358" t="s">
        <v>51</v>
      </c>
      <c r="E248" s="358" t="s">
        <v>314</v>
      </c>
      <c r="F248" s="358">
        <v>5</v>
      </c>
      <c r="G248" s="358" t="s">
        <v>32</v>
      </c>
      <c r="H248" s="361">
        <v>9</v>
      </c>
      <c r="I248" s="361"/>
      <c r="J248" s="358"/>
      <c r="K248" s="358"/>
      <c r="L248" s="358"/>
      <c r="M248" s="358"/>
      <c r="N248" s="230"/>
      <c r="O248" s="358"/>
      <c r="P248" s="230"/>
      <c r="Q248" s="230"/>
      <c r="R248" s="230"/>
      <c r="S248" s="230"/>
      <c r="T248" s="231"/>
      <c r="U248" s="358"/>
      <c r="V248" s="358"/>
      <c r="W248" s="358"/>
      <c r="X248" s="358"/>
      <c r="Y248" s="232"/>
      <c r="Z248" s="228" t="s">
        <v>628</v>
      </c>
      <c r="AE248" s="184"/>
      <c r="AF248" s="184"/>
    </row>
    <row r="249" spans="1:32" s="1" customFormat="1" ht="19.5" customHeight="1" x14ac:dyDescent="0.3">
      <c r="A249" s="201"/>
      <c r="B249" s="396"/>
      <c r="C249" s="357"/>
      <c r="D249" s="361" t="s">
        <v>60</v>
      </c>
      <c r="E249" s="361" t="s">
        <v>310</v>
      </c>
      <c r="F249" s="358">
        <v>5</v>
      </c>
      <c r="G249" s="358" t="s">
        <v>32</v>
      </c>
      <c r="H249" s="361">
        <v>16</v>
      </c>
      <c r="I249" s="361"/>
      <c r="J249" s="358">
        <v>45</v>
      </c>
      <c r="K249" s="358"/>
      <c r="L249" s="358"/>
      <c r="M249" s="358"/>
      <c r="N249" s="230"/>
      <c r="O249" s="358">
        <v>3</v>
      </c>
      <c r="P249" s="230"/>
      <c r="Q249" s="230"/>
      <c r="R249" s="230"/>
      <c r="S249" s="230"/>
      <c r="T249" s="231"/>
      <c r="U249" s="358"/>
      <c r="V249" s="358"/>
      <c r="W249" s="358"/>
      <c r="X249" s="358"/>
      <c r="Y249" s="232">
        <v>1.6</v>
      </c>
      <c r="Z249" s="228" t="s">
        <v>627</v>
      </c>
      <c r="AE249" s="184"/>
      <c r="AF249" s="184"/>
    </row>
    <row r="250" spans="1:32" s="1" customFormat="1" ht="19.5" customHeight="1" x14ac:dyDescent="0.3">
      <c r="A250" s="201"/>
      <c r="B250" s="396"/>
      <c r="C250" s="357"/>
      <c r="D250" s="225" t="s">
        <v>114</v>
      </c>
      <c r="E250" s="358" t="s">
        <v>312</v>
      </c>
      <c r="F250" s="358">
        <v>5</v>
      </c>
      <c r="G250" s="358" t="s">
        <v>32</v>
      </c>
      <c r="H250" s="361">
        <v>14</v>
      </c>
      <c r="I250" s="361"/>
      <c r="J250" s="358">
        <v>45</v>
      </c>
      <c r="K250" s="358"/>
      <c r="L250" s="358"/>
      <c r="M250" s="358"/>
      <c r="N250" s="230"/>
      <c r="O250" s="358">
        <v>3</v>
      </c>
      <c r="P250" s="230"/>
      <c r="Q250" s="230"/>
      <c r="R250" s="230"/>
      <c r="S250" s="230"/>
      <c r="T250" s="231"/>
      <c r="U250" s="358"/>
      <c r="V250" s="358"/>
      <c r="W250" s="358"/>
      <c r="X250" s="358"/>
      <c r="Y250" s="232">
        <v>1.6</v>
      </c>
      <c r="Z250" s="228" t="s">
        <v>629</v>
      </c>
      <c r="AE250" s="184"/>
      <c r="AF250" s="184"/>
    </row>
    <row r="251" spans="1:32" s="1" customFormat="1" ht="19.5" customHeight="1" x14ac:dyDescent="0.3">
      <c r="A251" s="201"/>
      <c r="B251" s="396"/>
      <c r="C251" s="357"/>
      <c r="D251" s="225" t="s">
        <v>46</v>
      </c>
      <c r="E251" s="361" t="s">
        <v>313</v>
      </c>
      <c r="F251" s="358">
        <v>5</v>
      </c>
      <c r="G251" s="358" t="s">
        <v>32</v>
      </c>
      <c r="H251" s="361">
        <v>12</v>
      </c>
      <c r="I251" s="361"/>
      <c r="J251" s="358">
        <v>45</v>
      </c>
      <c r="K251" s="358"/>
      <c r="L251" s="358"/>
      <c r="M251" s="358"/>
      <c r="N251" s="230"/>
      <c r="O251" s="358">
        <v>3</v>
      </c>
      <c r="P251" s="230"/>
      <c r="Q251" s="230"/>
      <c r="R251" s="230"/>
      <c r="S251" s="230"/>
      <c r="T251" s="231"/>
      <c r="U251" s="358"/>
      <c r="V251" s="358"/>
      <c r="W251" s="358"/>
      <c r="X251" s="358"/>
      <c r="Y251" s="232">
        <v>1.6</v>
      </c>
      <c r="Z251" s="228" t="s">
        <v>629</v>
      </c>
      <c r="AE251" s="184"/>
      <c r="AF251" s="184"/>
    </row>
    <row r="252" spans="1:32" s="1" customFormat="1" ht="19.5" customHeight="1" x14ac:dyDescent="0.3">
      <c r="A252" s="201"/>
      <c r="B252" s="396"/>
      <c r="C252" s="357"/>
      <c r="D252" s="225" t="s">
        <v>52</v>
      </c>
      <c r="E252" s="361" t="s">
        <v>588</v>
      </c>
      <c r="F252" s="358">
        <v>5</v>
      </c>
      <c r="G252" s="358" t="s">
        <v>32</v>
      </c>
      <c r="H252" s="361">
        <v>15</v>
      </c>
      <c r="I252" s="361"/>
      <c r="J252" s="358">
        <v>45</v>
      </c>
      <c r="K252" s="358"/>
      <c r="L252" s="358"/>
      <c r="M252" s="358">
        <v>15</v>
      </c>
      <c r="N252" s="230"/>
      <c r="O252" s="358">
        <v>3</v>
      </c>
      <c r="P252" s="230"/>
      <c r="Q252" s="230"/>
      <c r="R252" s="230"/>
      <c r="S252" s="230"/>
      <c r="T252" s="231"/>
      <c r="U252" s="358"/>
      <c r="V252" s="358"/>
      <c r="W252" s="358"/>
      <c r="X252" s="358"/>
      <c r="Y252" s="232">
        <v>2.1</v>
      </c>
      <c r="Z252" s="228" t="s">
        <v>628</v>
      </c>
      <c r="AE252" s="184"/>
      <c r="AF252" s="184"/>
    </row>
    <row r="253" spans="1:32" s="1" customFormat="1" ht="19.5" customHeight="1" x14ac:dyDescent="0.3">
      <c r="A253" s="201"/>
      <c r="B253" s="396"/>
      <c r="C253" s="357"/>
      <c r="D253" s="225" t="s">
        <v>52</v>
      </c>
      <c r="E253" s="361" t="s">
        <v>589</v>
      </c>
      <c r="F253" s="358">
        <v>5</v>
      </c>
      <c r="G253" s="358" t="s">
        <v>32</v>
      </c>
      <c r="H253" s="361">
        <v>15</v>
      </c>
      <c r="I253" s="361"/>
      <c r="J253" s="358">
        <v>45</v>
      </c>
      <c r="K253" s="358"/>
      <c r="L253" s="358"/>
      <c r="M253" s="358"/>
      <c r="N253" s="230"/>
      <c r="O253" s="358"/>
      <c r="P253" s="230"/>
      <c r="Q253" s="230"/>
      <c r="R253" s="230"/>
      <c r="S253" s="230"/>
      <c r="T253" s="231"/>
      <c r="U253" s="358"/>
      <c r="V253" s="358"/>
      <c r="W253" s="358"/>
      <c r="X253" s="358"/>
      <c r="Y253" s="232">
        <v>1.5</v>
      </c>
      <c r="Z253" s="228" t="s">
        <v>627</v>
      </c>
      <c r="AE253" s="184"/>
      <c r="AF253" s="184"/>
    </row>
    <row r="254" spans="1:32" s="1" customFormat="1" ht="19.5" customHeight="1" x14ac:dyDescent="0.3">
      <c r="A254" s="201"/>
      <c r="B254" s="396"/>
      <c r="C254" s="357"/>
      <c r="D254" s="225" t="s">
        <v>52</v>
      </c>
      <c r="E254" s="361" t="s">
        <v>590</v>
      </c>
      <c r="F254" s="358">
        <v>5</v>
      </c>
      <c r="G254" s="358" t="s">
        <v>32</v>
      </c>
      <c r="H254" s="361">
        <v>15</v>
      </c>
      <c r="I254" s="361"/>
      <c r="J254" s="358">
        <v>45</v>
      </c>
      <c r="K254" s="358"/>
      <c r="L254" s="358"/>
      <c r="M254" s="358"/>
      <c r="N254" s="230"/>
      <c r="O254" s="358">
        <v>3</v>
      </c>
      <c r="P254" s="230"/>
      <c r="Q254" s="230"/>
      <c r="R254" s="230"/>
      <c r="S254" s="230"/>
      <c r="T254" s="231"/>
      <c r="U254" s="358"/>
      <c r="V254" s="358"/>
      <c r="W254" s="358"/>
      <c r="X254" s="358"/>
      <c r="Y254" s="232">
        <v>1.6</v>
      </c>
      <c r="Z254" s="228" t="s">
        <v>627</v>
      </c>
      <c r="AE254" s="184"/>
      <c r="AF254" s="184"/>
    </row>
    <row r="255" spans="1:32" s="1" customFormat="1" ht="19.5" customHeight="1" x14ac:dyDescent="0.3">
      <c r="A255" s="201"/>
      <c r="B255" s="396"/>
      <c r="C255" s="357"/>
      <c r="D255" s="225" t="s">
        <v>52</v>
      </c>
      <c r="E255" s="361" t="s">
        <v>591</v>
      </c>
      <c r="F255" s="358">
        <v>5</v>
      </c>
      <c r="G255" s="358" t="s">
        <v>32</v>
      </c>
      <c r="H255" s="361">
        <v>15</v>
      </c>
      <c r="I255" s="361"/>
      <c r="J255" s="358">
        <v>45</v>
      </c>
      <c r="K255" s="358"/>
      <c r="L255" s="358"/>
      <c r="M255" s="358"/>
      <c r="N255" s="230"/>
      <c r="O255" s="358"/>
      <c r="P255" s="230"/>
      <c r="Q255" s="230"/>
      <c r="R255" s="230"/>
      <c r="S255" s="230"/>
      <c r="T255" s="231"/>
      <c r="U255" s="358"/>
      <c r="V255" s="358"/>
      <c r="W255" s="358"/>
      <c r="X255" s="358"/>
      <c r="Y255" s="232">
        <v>1.5</v>
      </c>
      <c r="Z255" s="228" t="s">
        <v>628</v>
      </c>
      <c r="AB255" s="1">
        <v>58.04</v>
      </c>
      <c r="AC255" s="1">
        <v>103</v>
      </c>
      <c r="AE255" s="184"/>
      <c r="AF255" s="184"/>
    </row>
    <row r="256" spans="1:32" s="1" customFormat="1" ht="19.5" customHeight="1" x14ac:dyDescent="0.3">
      <c r="A256" s="201"/>
      <c r="B256" s="404" t="s">
        <v>342</v>
      </c>
      <c r="C256" s="359"/>
      <c r="D256" s="225" t="s">
        <v>52</v>
      </c>
      <c r="E256" s="361" t="s">
        <v>547</v>
      </c>
      <c r="F256" s="358">
        <v>5</v>
      </c>
      <c r="G256" s="361" t="s">
        <v>35</v>
      </c>
      <c r="H256" s="361">
        <v>15</v>
      </c>
      <c r="I256" s="361"/>
      <c r="J256" s="358">
        <v>45</v>
      </c>
      <c r="K256" s="358"/>
      <c r="L256" s="358"/>
      <c r="M256" s="358">
        <v>15</v>
      </c>
      <c r="N256" s="230"/>
      <c r="O256" s="358">
        <v>3</v>
      </c>
      <c r="P256" s="230"/>
      <c r="Q256" s="230"/>
      <c r="R256" s="230"/>
      <c r="S256" s="230"/>
      <c r="T256" s="231"/>
      <c r="U256" s="358"/>
      <c r="V256" s="358"/>
      <c r="W256" s="358"/>
      <c r="X256" s="358"/>
      <c r="Y256" s="232">
        <v>2.1</v>
      </c>
      <c r="Z256" s="228" t="s">
        <v>630</v>
      </c>
      <c r="AE256" s="184"/>
      <c r="AF256" s="184"/>
    </row>
    <row r="257" spans="1:32" s="1" customFormat="1" ht="19.5" customHeight="1" x14ac:dyDescent="0.3">
      <c r="A257" s="201"/>
      <c r="B257" s="405"/>
      <c r="C257" s="360"/>
      <c r="D257" s="225" t="s">
        <v>52</v>
      </c>
      <c r="E257" s="361" t="s">
        <v>549</v>
      </c>
      <c r="F257" s="358">
        <v>5</v>
      </c>
      <c r="G257" s="361" t="s">
        <v>35</v>
      </c>
      <c r="H257" s="361">
        <v>15</v>
      </c>
      <c r="I257" s="361"/>
      <c r="J257" s="358">
        <v>45</v>
      </c>
      <c r="K257" s="358"/>
      <c r="L257" s="358"/>
      <c r="M257" s="358"/>
      <c r="N257" s="230"/>
      <c r="O257" s="358"/>
      <c r="P257" s="230"/>
      <c r="Q257" s="230"/>
      <c r="R257" s="230"/>
      <c r="S257" s="230"/>
      <c r="T257" s="231"/>
      <c r="U257" s="358"/>
      <c r="V257" s="358"/>
      <c r="W257" s="358"/>
      <c r="X257" s="358"/>
      <c r="Y257" s="232">
        <v>1.5</v>
      </c>
      <c r="Z257" s="228" t="s">
        <v>631</v>
      </c>
      <c r="AE257" s="184"/>
      <c r="AF257" s="184"/>
    </row>
    <row r="258" spans="1:32" s="1" customFormat="1" ht="19.5" customHeight="1" x14ac:dyDescent="0.3">
      <c r="A258" s="201"/>
      <c r="B258" s="405"/>
      <c r="C258" s="360"/>
      <c r="D258" s="225" t="s">
        <v>52</v>
      </c>
      <c r="E258" s="361" t="s">
        <v>551</v>
      </c>
      <c r="F258" s="358">
        <v>5</v>
      </c>
      <c r="G258" s="361" t="s">
        <v>35</v>
      </c>
      <c r="H258" s="361">
        <v>15</v>
      </c>
      <c r="I258" s="361"/>
      <c r="J258" s="358">
        <v>45</v>
      </c>
      <c r="K258" s="358"/>
      <c r="L258" s="358"/>
      <c r="M258" s="358"/>
      <c r="N258" s="230"/>
      <c r="O258" s="358">
        <v>3</v>
      </c>
      <c r="P258" s="230"/>
      <c r="Q258" s="230"/>
      <c r="R258" s="230"/>
      <c r="S258" s="230"/>
      <c r="T258" s="231"/>
      <c r="U258" s="358"/>
      <c r="V258" s="358"/>
      <c r="W258" s="358"/>
      <c r="X258" s="358"/>
      <c r="Y258" s="232">
        <v>1.6</v>
      </c>
      <c r="Z258" s="228" t="s">
        <v>630</v>
      </c>
      <c r="AE258" s="184"/>
      <c r="AF258" s="184"/>
    </row>
    <row r="259" spans="1:32" s="1" customFormat="1" ht="19.5" customHeight="1" x14ac:dyDescent="0.3">
      <c r="A259" s="201"/>
      <c r="B259" s="405"/>
      <c r="C259" s="360"/>
      <c r="D259" s="225" t="s">
        <v>52</v>
      </c>
      <c r="E259" s="361" t="s">
        <v>552</v>
      </c>
      <c r="F259" s="358">
        <v>5</v>
      </c>
      <c r="G259" s="361" t="s">
        <v>35</v>
      </c>
      <c r="H259" s="361">
        <v>14</v>
      </c>
      <c r="I259" s="361"/>
      <c r="J259" s="358">
        <v>45</v>
      </c>
      <c r="K259" s="358"/>
      <c r="L259" s="358"/>
      <c r="M259" s="358"/>
      <c r="N259" s="230"/>
      <c r="O259" s="358"/>
      <c r="P259" s="230"/>
      <c r="Q259" s="230"/>
      <c r="R259" s="230"/>
      <c r="S259" s="230"/>
      <c r="T259" s="231"/>
      <c r="U259" s="358"/>
      <c r="V259" s="358"/>
      <c r="W259" s="358"/>
      <c r="X259" s="358"/>
      <c r="Y259" s="232">
        <v>1.5</v>
      </c>
      <c r="Z259" s="228" t="s">
        <v>631</v>
      </c>
      <c r="AE259" s="184"/>
      <c r="AF259" s="184"/>
    </row>
    <row r="260" spans="1:32" s="1" customFormat="1" ht="19.5" customHeight="1" x14ac:dyDescent="0.3">
      <c r="A260" s="201"/>
      <c r="B260" s="405"/>
      <c r="C260" s="360"/>
      <c r="D260" s="361" t="s">
        <v>81</v>
      </c>
      <c r="E260" s="361" t="s">
        <v>553</v>
      </c>
      <c r="F260" s="358">
        <v>5</v>
      </c>
      <c r="G260" s="361" t="s">
        <v>35</v>
      </c>
      <c r="H260" s="361">
        <v>15</v>
      </c>
      <c r="I260" s="361"/>
      <c r="J260" s="358">
        <v>45</v>
      </c>
      <c r="K260" s="358"/>
      <c r="L260" s="358"/>
      <c r="M260" s="358"/>
      <c r="N260" s="230"/>
      <c r="O260" s="358">
        <v>3</v>
      </c>
      <c r="P260" s="230"/>
      <c r="Q260" s="230"/>
      <c r="R260" s="230"/>
      <c r="S260" s="230"/>
      <c r="T260" s="231"/>
      <c r="U260" s="358"/>
      <c r="V260" s="358"/>
      <c r="W260" s="358"/>
      <c r="X260" s="358"/>
      <c r="Y260" s="232">
        <v>1.6</v>
      </c>
      <c r="Z260" s="228" t="s">
        <v>632</v>
      </c>
      <c r="AE260" s="184"/>
      <c r="AF260" s="184"/>
    </row>
    <row r="261" spans="1:32" s="1" customFormat="1" ht="19.5" customHeight="1" x14ac:dyDescent="0.3">
      <c r="A261" s="201"/>
      <c r="B261" s="405"/>
      <c r="C261" s="360"/>
      <c r="D261" s="361" t="s">
        <v>81</v>
      </c>
      <c r="E261" s="361" t="s">
        <v>554</v>
      </c>
      <c r="F261" s="358">
        <v>5</v>
      </c>
      <c r="G261" s="361" t="s">
        <v>35</v>
      </c>
      <c r="H261" s="361">
        <v>15</v>
      </c>
      <c r="I261" s="361"/>
      <c r="J261" s="358">
        <v>45</v>
      </c>
      <c r="K261" s="358"/>
      <c r="L261" s="358"/>
      <c r="M261" s="358"/>
      <c r="N261" s="230"/>
      <c r="O261" s="358"/>
      <c r="P261" s="230"/>
      <c r="Q261" s="230"/>
      <c r="R261" s="230"/>
      <c r="S261" s="230"/>
      <c r="T261" s="231"/>
      <c r="U261" s="358"/>
      <c r="V261" s="358"/>
      <c r="W261" s="358"/>
      <c r="X261" s="358"/>
      <c r="Y261" s="232">
        <v>1.5</v>
      </c>
      <c r="Z261" s="228" t="s">
        <v>633</v>
      </c>
      <c r="AE261" s="184"/>
      <c r="AF261" s="184"/>
    </row>
    <row r="262" spans="1:32" s="1" customFormat="1" ht="19.5" customHeight="1" x14ac:dyDescent="0.3">
      <c r="A262" s="201"/>
      <c r="B262" s="405"/>
      <c r="C262" s="360"/>
      <c r="D262" s="358" t="s">
        <v>170</v>
      </c>
      <c r="E262" s="358" t="s">
        <v>556</v>
      </c>
      <c r="F262" s="358">
        <v>5</v>
      </c>
      <c r="G262" s="358" t="s">
        <v>35</v>
      </c>
      <c r="H262" s="361">
        <v>13</v>
      </c>
      <c r="I262" s="361"/>
      <c r="J262" s="358">
        <v>45</v>
      </c>
      <c r="K262" s="358"/>
      <c r="L262" s="358"/>
      <c r="M262" s="358"/>
      <c r="N262" s="230"/>
      <c r="O262" s="358">
        <v>3</v>
      </c>
      <c r="P262" s="230"/>
      <c r="Q262" s="230"/>
      <c r="R262" s="230"/>
      <c r="S262" s="230"/>
      <c r="T262" s="231"/>
      <c r="U262" s="358"/>
      <c r="V262" s="358"/>
      <c r="W262" s="358"/>
      <c r="X262" s="358"/>
      <c r="Y262" s="232">
        <v>1.6</v>
      </c>
      <c r="Z262" s="228" t="s">
        <v>633</v>
      </c>
      <c r="AE262" s="184"/>
      <c r="AF262" s="184"/>
    </row>
    <row r="263" spans="1:32" s="1" customFormat="1" ht="19.5" customHeight="1" x14ac:dyDescent="0.3">
      <c r="A263" s="201"/>
      <c r="B263" s="405"/>
      <c r="C263" s="360"/>
      <c r="D263" s="358" t="s">
        <v>170</v>
      </c>
      <c r="E263" s="358" t="s">
        <v>557</v>
      </c>
      <c r="F263" s="358">
        <v>5</v>
      </c>
      <c r="G263" s="358" t="s">
        <v>35</v>
      </c>
      <c r="H263" s="361">
        <v>12</v>
      </c>
      <c r="I263" s="361"/>
      <c r="J263" s="358">
        <v>45</v>
      </c>
      <c r="K263" s="358"/>
      <c r="L263" s="358"/>
      <c r="M263" s="358"/>
      <c r="N263" s="230"/>
      <c r="O263" s="358"/>
      <c r="P263" s="230"/>
      <c r="Q263" s="230"/>
      <c r="R263" s="230"/>
      <c r="S263" s="230"/>
      <c r="T263" s="231"/>
      <c r="U263" s="358"/>
      <c r="V263" s="358"/>
      <c r="W263" s="358"/>
      <c r="X263" s="358"/>
      <c r="Y263" s="232">
        <v>1.5</v>
      </c>
      <c r="Z263" s="228" t="s">
        <v>632</v>
      </c>
      <c r="AD263" s="1" t="s">
        <v>592</v>
      </c>
      <c r="AE263" s="184">
        <f>Y259+Y257+Y288+Y295+Y278+Y277+Y292+Y290</f>
        <v>12.999999999999998</v>
      </c>
      <c r="AF263" s="184">
        <f>Y266+Y267+Y273</f>
        <v>5.3000000000000007</v>
      </c>
    </row>
    <row r="264" spans="1:32" s="1" customFormat="1" ht="19.5" customHeight="1" x14ac:dyDescent="0.3">
      <c r="A264" s="201"/>
      <c r="B264" s="405"/>
      <c r="C264" s="360"/>
      <c r="D264" s="358" t="s">
        <v>170</v>
      </c>
      <c r="E264" s="358" t="s">
        <v>558</v>
      </c>
      <c r="F264" s="358">
        <v>5</v>
      </c>
      <c r="G264" s="358" t="s">
        <v>35</v>
      </c>
      <c r="H264" s="361">
        <v>13</v>
      </c>
      <c r="I264" s="361"/>
      <c r="J264" s="358">
        <v>45</v>
      </c>
      <c r="K264" s="358"/>
      <c r="L264" s="358"/>
      <c r="M264" s="358"/>
      <c r="N264" s="230"/>
      <c r="O264" s="358">
        <v>3</v>
      </c>
      <c r="P264" s="230"/>
      <c r="Q264" s="230"/>
      <c r="R264" s="230"/>
      <c r="S264" s="230"/>
      <c r="T264" s="231"/>
      <c r="U264" s="358"/>
      <c r="V264" s="358"/>
      <c r="W264" s="358"/>
      <c r="X264" s="358"/>
      <c r="Y264" s="232">
        <v>1.6</v>
      </c>
      <c r="Z264" s="228" t="s">
        <v>633</v>
      </c>
      <c r="AD264" s="1" t="s">
        <v>595</v>
      </c>
      <c r="AE264" s="184">
        <f>Y256+Y258+Y289+Y291+Y293+Y294</f>
        <v>9.7999999999999989</v>
      </c>
      <c r="AF264" s="184"/>
    </row>
    <row r="265" spans="1:32" s="1" customFormat="1" ht="19.5" customHeight="1" x14ac:dyDescent="0.3">
      <c r="A265" s="201"/>
      <c r="B265" s="405"/>
      <c r="C265" s="360"/>
      <c r="D265" s="358" t="s">
        <v>170</v>
      </c>
      <c r="E265" s="358" t="s">
        <v>559</v>
      </c>
      <c r="F265" s="358">
        <v>5</v>
      </c>
      <c r="G265" s="358" t="s">
        <v>35</v>
      </c>
      <c r="H265" s="361">
        <v>12</v>
      </c>
      <c r="I265" s="361"/>
      <c r="J265" s="358">
        <v>45</v>
      </c>
      <c r="K265" s="358"/>
      <c r="L265" s="358"/>
      <c r="M265" s="358"/>
      <c r="N265" s="230"/>
      <c r="O265" s="358"/>
      <c r="P265" s="230"/>
      <c r="Q265" s="230"/>
      <c r="R265" s="230"/>
      <c r="S265" s="230"/>
      <c r="T265" s="231"/>
      <c r="U265" s="358"/>
      <c r="V265" s="358"/>
      <c r="W265" s="358"/>
      <c r="X265" s="358"/>
      <c r="Y265" s="232">
        <v>1.5</v>
      </c>
      <c r="Z265" s="228" t="s">
        <v>632</v>
      </c>
      <c r="AD265" s="1" t="s">
        <v>594</v>
      </c>
      <c r="AE265" s="184" t="e">
        <f>Y269+Y272+Y275+Y279+Y281+Y283+Y285+Y287+#REF!+#REF!+#REF!+Y262+Y264+Y261</f>
        <v>#REF!</v>
      </c>
      <c r="AF265" s="184"/>
    </row>
    <row r="266" spans="1:32" s="1" customFormat="1" ht="19.5" customHeight="1" x14ac:dyDescent="0.3">
      <c r="A266" s="201"/>
      <c r="B266" s="405"/>
      <c r="C266" s="360"/>
      <c r="D266" s="358" t="s">
        <v>61</v>
      </c>
      <c r="E266" s="358" t="s">
        <v>298</v>
      </c>
      <c r="F266" s="358">
        <v>5</v>
      </c>
      <c r="G266" s="361" t="s">
        <v>35</v>
      </c>
      <c r="H266" s="361">
        <v>14</v>
      </c>
      <c r="I266" s="361"/>
      <c r="J266" s="358">
        <v>45</v>
      </c>
      <c r="K266" s="358"/>
      <c r="L266" s="358"/>
      <c r="M266" s="358"/>
      <c r="N266" s="230"/>
      <c r="O266" s="358">
        <v>3</v>
      </c>
      <c r="P266" s="230"/>
      <c r="Q266" s="230"/>
      <c r="R266" s="230"/>
      <c r="S266" s="230"/>
      <c r="T266" s="231"/>
      <c r="U266" s="358"/>
      <c r="V266" s="358"/>
      <c r="W266" s="358"/>
      <c r="X266" s="358"/>
      <c r="Y266" s="232">
        <v>1.6</v>
      </c>
      <c r="Z266" s="228" t="s">
        <v>631</v>
      </c>
      <c r="AD266" s="184" t="s">
        <v>593</v>
      </c>
      <c r="AE266" s="184">
        <f>Y260+Y263+Y265+Y268+Y270+Y271+Y274+Y276+Y280+Y282+Y284</f>
        <v>16.7</v>
      </c>
      <c r="AF266" s="184"/>
    </row>
    <row r="267" spans="1:32" s="1" customFormat="1" ht="19.5" customHeight="1" x14ac:dyDescent="0.3">
      <c r="A267" s="201"/>
      <c r="B267" s="405"/>
      <c r="C267" s="360"/>
      <c r="D267" s="225" t="s">
        <v>44</v>
      </c>
      <c r="E267" s="361" t="s">
        <v>561</v>
      </c>
      <c r="F267" s="358">
        <v>5</v>
      </c>
      <c r="G267" s="361" t="s">
        <v>35</v>
      </c>
      <c r="H267" s="361">
        <v>15</v>
      </c>
      <c r="I267" s="361"/>
      <c r="J267" s="358">
        <v>45</v>
      </c>
      <c r="K267" s="358"/>
      <c r="L267" s="358"/>
      <c r="M267" s="358">
        <v>15</v>
      </c>
      <c r="N267" s="230"/>
      <c r="O267" s="358">
        <v>3</v>
      </c>
      <c r="P267" s="230"/>
      <c r="Q267" s="230"/>
      <c r="R267" s="230"/>
      <c r="S267" s="230"/>
      <c r="T267" s="231"/>
      <c r="U267" s="358"/>
      <c r="V267" s="358"/>
      <c r="W267" s="358"/>
      <c r="X267" s="358"/>
      <c r="Y267" s="232">
        <v>2.1</v>
      </c>
      <c r="Z267" s="228" t="s">
        <v>631</v>
      </c>
      <c r="AE267" s="184"/>
      <c r="AF267" s="184"/>
    </row>
    <row r="268" spans="1:32" s="1" customFormat="1" ht="19.5" customHeight="1" x14ac:dyDescent="0.3">
      <c r="A268" s="201"/>
      <c r="B268" s="405"/>
      <c r="C268" s="360"/>
      <c r="D268" s="225" t="s">
        <v>44</v>
      </c>
      <c r="E268" s="361" t="s">
        <v>562</v>
      </c>
      <c r="F268" s="358">
        <v>5</v>
      </c>
      <c r="G268" s="361" t="s">
        <v>35</v>
      </c>
      <c r="H268" s="361">
        <v>15</v>
      </c>
      <c r="I268" s="361"/>
      <c r="J268" s="358">
        <v>45</v>
      </c>
      <c r="K268" s="358"/>
      <c r="L268" s="358"/>
      <c r="M268" s="358"/>
      <c r="N268" s="230"/>
      <c r="O268" s="358"/>
      <c r="P268" s="230"/>
      <c r="Q268" s="230"/>
      <c r="R268" s="230"/>
      <c r="S268" s="230"/>
      <c r="T268" s="231"/>
      <c r="U268" s="358"/>
      <c r="V268" s="358"/>
      <c r="W268" s="358"/>
      <c r="X268" s="358"/>
      <c r="Y268" s="232">
        <v>1.5</v>
      </c>
      <c r="Z268" s="228" t="s">
        <v>632</v>
      </c>
      <c r="AE268" s="184">
        <v>3.7</v>
      </c>
      <c r="AF268" s="184"/>
    </row>
    <row r="269" spans="1:32" s="1" customFormat="1" ht="19.5" customHeight="1" x14ac:dyDescent="0.3">
      <c r="A269" s="201"/>
      <c r="B269" s="405"/>
      <c r="C269" s="360"/>
      <c r="D269" s="358" t="s">
        <v>49</v>
      </c>
      <c r="E269" s="358" t="s">
        <v>563</v>
      </c>
      <c r="F269" s="358">
        <v>5</v>
      </c>
      <c r="G269" s="358" t="s">
        <v>35</v>
      </c>
      <c r="H269" s="361">
        <v>13</v>
      </c>
      <c r="I269" s="361"/>
      <c r="J269" s="358">
        <v>45</v>
      </c>
      <c r="K269" s="358"/>
      <c r="L269" s="358"/>
      <c r="M269" s="358"/>
      <c r="N269" s="230"/>
      <c r="O269" s="358">
        <v>3</v>
      </c>
      <c r="P269" s="230"/>
      <c r="Q269" s="230"/>
      <c r="R269" s="230"/>
      <c r="S269" s="230"/>
      <c r="T269" s="231"/>
      <c r="U269" s="358"/>
      <c r="V269" s="358"/>
      <c r="W269" s="358"/>
      <c r="X269" s="358"/>
      <c r="Y269" s="232">
        <v>1.6</v>
      </c>
      <c r="Z269" s="228" t="s">
        <v>633</v>
      </c>
      <c r="AE269" s="184">
        <v>12.9</v>
      </c>
      <c r="AF269" s="184"/>
    </row>
    <row r="270" spans="1:32" s="1" customFormat="1" ht="19.5" customHeight="1" x14ac:dyDescent="0.3">
      <c r="A270" s="201"/>
      <c r="B270" s="405"/>
      <c r="C270" s="360"/>
      <c r="D270" s="358" t="s">
        <v>49</v>
      </c>
      <c r="E270" s="358" t="s">
        <v>565</v>
      </c>
      <c r="F270" s="358">
        <v>5</v>
      </c>
      <c r="G270" s="358" t="s">
        <v>35</v>
      </c>
      <c r="H270" s="361">
        <v>14</v>
      </c>
      <c r="I270" s="361"/>
      <c r="J270" s="358">
        <v>45</v>
      </c>
      <c r="K270" s="358"/>
      <c r="L270" s="358"/>
      <c r="M270" s="358"/>
      <c r="N270" s="230"/>
      <c r="O270" s="358"/>
      <c r="P270" s="230"/>
      <c r="Q270" s="230"/>
      <c r="R270" s="230"/>
      <c r="S270" s="230"/>
      <c r="T270" s="231"/>
      <c r="U270" s="358"/>
      <c r="V270" s="358"/>
      <c r="W270" s="358"/>
      <c r="X270" s="358"/>
      <c r="Y270" s="232">
        <v>1.5</v>
      </c>
      <c r="Z270" s="228" t="s">
        <v>632</v>
      </c>
      <c r="AE270" s="184"/>
      <c r="AF270" s="184"/>
    </row>
    <row r="271" spans="1:32" s="1" customFormat="1" ht="19.5" customHeight="1" x14ac:dyDescent="0.3">
      <c r="A271" s="201"/>
      <c r="B271" s="405"/>
      <c r="C271" s="360"/>
      <c r="D271" s="358" t="s">
        <v>62</v>
      </c>
      <c r="E271" s="358" t="s">
        <v>292</v>
      </c>
      <c r="F271" s="358">
        <v>5</v>
      </c>
      <c r="G271" s="361" t="s">
        <v>35</v>
      </c>
      <c r="H271" s="361">
        <v>16</v>
      </c>
      <c r="I271" s="361"/>
      <c r="J271" s="358">
        <v>45</v>
      </c>
      <c r="K271" s="358"/>
      <c r="L271" s="358"/>
      <c r="M271" s="358"/>
      <c r="N271" s="230"/>
      <c r="O271" s="358">
        <v>3</v>
      </c>
      <c r="P271" s="230"/>
      <c r="Q271" s="230"/>
      <c r="R271" s="230"/>
      <c r="S271" s="230"/>
      <c r="T271" s="231"/>
      <c r="U271" s="358"/>
      <c r="V271" s="358"/>
      <c r="W271" s="358"/>
      <c r="X271" s="358"/>
      <c r="Y271" s="232">
        <v>1.6</v>
      </c>
      <c r="Z271" s="228" t="s">
        <v>632</v>
      </c>
      <c r="AE271" s="184">
        <v>80.900000000000006</v>
      </c>
      <c r="AF271" s="184"/>
    </row>
    <row r="272" spans="1:32" s="1" customFormat="1" ht="19.5" customHeight="1" x14ac:dyDescent="0.3">
      <c r="A272" s="201"/>
      <c r="B272" s="405"/>
      <c r="C272" s="360"/>
      <c r="D272" s="361" t="s">
        <v>210</v>
      </c>
      <c r="E272" s="361" t="s">
        <v>293</v>
      </c>
      <c r="F272" s="358">
        <v>5</v>
      </c>
      <c r="G272" s="361" t="s">
        <v>35</v>
      </c>
      <c r="H272" s="361">
        <v>15</v>
      </c>
      <c r="I272" s="361"/>
      <c r="J272" s="358">
        <v>45</v>
      </c>
      <c r="K272" s="358"/>
      <c r="L272" s="358"/>
      <c r="M272" s="358"/>
      <c r="N272" s="230"/>
      <c r="O272" s="358">
        <v>3</v>
      </c>
      <c r="P272" s="230"/>
      <c r="Q272" s="230"/>
      <c r="R272" s="230"/>
      <c r="S272" s="230"/>
      <c r="T272" s="231"/>
      <c r="U272" s="358"/>
      <c r="V272" s="358"/>
      <c r="W272" s="358"/>
      <c r="X272" s="358"/>
      <c r="Y272" s="232">
        <v>1.6</v>
      </c>
      <c r="Z272" s="228" t="s">
        <v>633</v>
      </c>
      <c r="AE272" s="184"/>
      <c r="AF272" s="184"/>
    </row>
    <row r="273" spans="1:32" s="1" customFormat="1" ht="19.5" customHeight="1" x14ac:dyDescent="0.3">
      <c r="A273" s="201"/>
      <c r="B273" s="405"/>
      <c r="C273" s="360"/>
      <c r="D273" s="225" t="s">
        <v>43</v>
      </c>
      <c r="E273" s="361" t="s">
        <v>566</v>
      </c>
      <c r="F273" s="358">
        <v>5</v>
      </c>
      <c r="G273" s="361" t="s">
        <v>35</v>
      </c>
      <c r="H273" s="361">
        <v>11</v>
      </c>
      <c r="I273" s="361"/>
      <c r="J273" s="358">
        <v>45</v>
      </c>
      <c r="K273" s="358"/>
      <c r="L273" s="358"/>
      <c r="M273" s="358"/>
      <c r="N273" s="230"/>
      <c r="O273" s="358">
        <v>3</v>
      </c>
      <c r="P273" s="230"/>
      <c r="Q273" s="230"/>
      <c r="R273" s="230"/>
      <c r="S273" s="230"/>
      <c r="T273" s="231"/>
      <c r="U273" s="358"/>
      <c r="V273" s="358"/>
      <c r="W273" s="358"/>
      <c r="X273" s="358"/>
      <c r="Y273" s="232">
        <v>1.6</v>
      </c>
      <c r="Z273" s="228" t="s">
        <v>631</v>
      </c>
      <c r="AE273" s="184"/>
      <c r="AF273" s="184"/>
    </row>
    <row r="274" spans="1:32" s="1" customFormat="1" ht="19.5" customHeight="1" x14ac:dyDescent="0.3">
      <c r="A274" s="201"/>
      <c r="B274" s="405"/>
      <c r="C274" s="360"/>
      <c r="D274" s="225" t="s">
        <v>43</v>
      </c>
      <c r="E274" s="361" t="s">
        <v>567</v>
      </c>
      <c r="F274" s="358">
        <v>5</v>
      </c>
      <c r="G274" s="361" t="s">
        <v>35</v>
      </c>
      <c r="H274" s="361">
        <v>12</v>
      </c>
      <c r="I274" s="361"/>
      <c r="J274" s="358">
        <v>45</v>
      </c>
      <c r="K274" s="358"/>
      <c r="L274" s="358"/>
      <c r="M274" s="358"/>
      <c r="N274" s="230"/>
      <c r="O274" s="358">
        <v>3</v>
      </c>
      <c r="P274" s="230"/>
      <c r="Q274" s="230"/>
      <c r="R274" s="230"/>
      <c r="S274" s="230"/>
      <c r="T274" s="231"/>
      <c r="U274" s="358"/>
      <c r="V274" s="358"/>
      <c r="W274" s="358"/>
      <c r="X274" s="358"/>
      <c r="Y274" s="232">
        <v>1.5</v>
      </c>
      <c r="Z274" s="228" t="s">
        <v>632</v>
      </c>
      <c r="AE274" s="184"/>
      <c r="AF274" s="184"/>
    </row>
    <row r="275" spans="1:32" s="1" customFormat="1" ht="19.5" customHeight="1" x14ac:dyDescent="0.3">
      <c r="A275" s="201"/>
      <c r="B275" s="405"/>
      <c r="C275" s="360"/>
      <c r="D275" s="361" t="s">
        <v>60</v>
      </c>
      <c r="E275" s="361" t="s">
        <v>568</v>
      </c>
      <c r="F275" s="358">
        <v>5</v>
      </c>
      <c r="G275" s="358" t="s">
        <v>35</v>
      </c>
      <c r="H275" s="361">
        <v>15</v>
      </c>
      <c r="I275" s="361"/>
      <c r="J275" s="358">
        <v>45</v>
      </c>
      <c r="K275" s="358"/>
      <c r="L275" s="358"/>
      <c r="M275" s="358"/>
      <c r="N275" s="230"/>
      <c r="O275" s="358">
        <v>3</v>
      </c>
      <c r="P275" s="230"/>
      <c r="Q275" s="230"/>
      <c r="R275" s="230"/>
      <c r="S275" s="230"/>
      <c r="T275" s="231"/>
      <c r="U275" s="358"/>
      <c r="V275" s="358"/>
      <c r="W275" s="358"/>
      <c r="X275" s="358"/>
      <c r="Y275" s="232">
        <v>1.6</v>
      </c>
      <c r="Z275" s="228" t="s">
        <v>633</v>
      </c>
      <c r="AE275" s="184"/>
      <c r="AF275" s="184"/>
    </row>
    <row r="276" spans="1:32" s="1" customFormat="1" ht="19.5" customHeight="1" x14ac:dyDescent="0.3">
      <c r="A276" s="201"/>
      <c r="B276" s="405"/>
      <c r="C276" s="360"/>
      <c r="D276" s="361" t="s">
        <v>60</v>
      </c>
      <c r="E276" s="361" t="s">
        <v>569</v>
      </c>
      <c r="F276" s="358">
        <v>5</v>
      </c>
      <c r="G276" s="358" t="s">
        <v>35</v>
      </c>
      <c r="H276" s="361">
        <v>15</v>
      </c>
      <c r="I276" s="361"/>
      <c r="J276" s="358">
        <v>45</v>
      </c>
      <c r="K276" s="358"/>
      <c r="L276" s="358"/>
      <c r="M276" s="358"/>
      <c r="N276" s="230"/>
      <c r="O276" s="358"/>
      <c r="P276" s="230"/>
      <c r="Q276" s="230"/>
      <c r="R276" s="230"/>
      <c r="S276" s="230"/>
      <c r="T276" s="231"/>
      <c r="U276" s="358"/>
      <c r="V276" s="358"/>
      <c r="W276" s="358"/>
      <c r="X276" s="358"/>
      <c r="Y276" s="232">
        <v>1.5</v>
      </c>
      <c r="Z276" s="228" t="s">
        <v>632</v>
      </c>
      <c r="AE276" s="184"/>
      <c r="AF276" s="184"/>
    </row>
    <row r="277" spans="1:32" s="1" customFormat="1" ht="19.5" customHeight="1" x14ac:dyDescent="0.3">
      <c r="A277" s="201"/>
      <c r="B277" s="405"/>
      <c r="C277" s="360"/>
      <c r="D277" s="225" t="s">
        <v>114</v>
      </c>
      <c r="E277" s="358" t="s">
        <v>596</v>
      </c>
      <c r="F277" s="358">
        <v>5</v>
      </c>
      <c r="G277" s="361" t="s">
        <v>35</v>
      </c>
      <c r="H277" s="361">
        <v>15</v>
      </c>
      <c r="I277" s="361"/>
      <c r="J277" s="358">
        <v>45</v>
      </c>
      <c r="K277" s="358"/>
      <c r="L277" s="358"/>
      <c r="M277" s="358">
        <v>15</v>
      </c>
      <c r="N277" s="230"/>
      <c r="O277" s="358">
        <v>3</v>
      </c>
      <c r="P277" s="230"/>
      <c r="Q277" s="230"/>
      <c r="R277" s="230"/>
      <c r="S277" s="230"/>
      <c r="T277" s="231"/>
      <c r="U277" s="358"/>
      <c r="V277" s="358"/>
      <c r="W277" s="358"/>
      <c r="X277" s="358"/>
      <c r="Y277" s="232">
        <v>2.1</v>
      </c>
      <c r="Z277" s="228" t="s">
        <v>631</v>
      </c>
      <c r="AE277" s="184"/>
      <c r="AF277" s="184"/>
    </row>
    <row r="278" spans="1:32" s="1" customFormat="1" ht="19.5" customHeight="1" x14ac:dyDescent="0.3">
      <c r="A278" s="201"/>
      <c r="B278" s="405"/>
      <c r="C278" s="360"/>
      <c r="D278" s="225" t="s">
        <v>46</v>
      </c>
      <c r="E278" s="361" t="s">
        <v>597</v>
      </c>
      <c r="F278" s="358">
        <v>5</v>
      </c>
      <c r="G278" s="361" t="s">
        <v>35</v>
      </c>
      <c r="H278" s="361">
        <v>15</v>
      </c>
      <c r="I278" s="361"/>
      <c r="J278" s="358">
        <v>45</v>
      </c>
      <c r="K278" s="358"/>
      <c r="L278" s="358"/>
      <c r="M278" s="358"/>
      <c r="N278" s="230"/>
      <c r="O278" s="358">
        <v>3</v>
      </c>
      <c r="P278" s="230"/>
      <c r="Q278" s="230"/>
      <c r="R278" s="230"/>
      <c r="S278" s="230"/>
      <c r="T278" s="231"/>
      <c r="U278" s="358"/>
      <c r="V278" s="358"/>
      <c r="W278" s="358"/>
      <c r="X278" s="358"/>
      <c r="Y278" s="232">
        <v>1.6</v>
      </c>
      <c r="Z278" s="228" t="s">
        <v>631</v>
      </c>
      <c r="AE278" s="184"/>
      <c r="AF278" s="184"/>
    </row>
    <row r="279" spans="1:32" s="1" customFormat="1" ht="19.5" customHeight="1" x14ac:dyDescent="0.3">
      <c r="A279" s="201"/>
      <c r="B279" s="405"/>
      <c r="C279" s="360"/>
      <c r="D279" s="361" t="s">
        <v>81</v>
      </c>
      <c r="E279" s="361" t="s">
        <v>570</v>
      </c>
      <c r="F279" s="358">
        <v>5</v>
      </c>
      <c r="G279" s="361" t="s">
        <v>35</v>
      </c>
      <c r="H279" s="361">
        <v>15</v>
      </c>
      <c r="I279" s="361"/>
      <c r="J279" s="358">
        <v>45</v>
      </c>
      <c r="K279" s="358"/>
      <c r="L279" s="358"/>
      <c r="M279" s="358"/>
      <c r="N279" s="230"/>
      <c r="O279" s="358">
        <v>3</v>
      </c>
      <c r="P279" s="230"/>
      <c r="Q279" s="230"/>
      <c r="R279" s="230"/>
      <c r="S279" s="230"/>
      <c r="T279" s="231"/>
      <c r="U279" s="358"/>
      <c r="V279" s="358"/>
      <c r="W279" s="358"/>
      <c r="X279" s="358"/>
      <c r="Y279" s="232">
        <v>1.6</v>
      </c>
      <c r="Z279" s="228" t="s">
        <v>633</v>
      </c>
      <c r="AE279" s="184"/>
      <c r="AF279" s="184"/>
    </row>
    <row r="280" spans="1:32" s="1" customFormat="1" ht="19.5" customHeight="1" x14ac:dyDescent="0.3">
      <c r="A280" s="201"/>
      <c r="B280" s="405"/>
      <c r="C280" s="360"/>
      <c r="D280" s="361" t="s">
        <v>81</v>
      </c>
      <c r="E280" s="361" t="s">
        <v>571</v>
      </c>
      <c r="F280" s="358">
        <v>5</v>
      </c>
      <c r="G280" s="361" t="s">
        <v>35</v>
      </c>
      <c r="H280" s="361">
        <v>15</v>
      </c>
      <c r="I280" s="361"/>
      <c r="J280" s="358">
        <v>45</v>
      </c>
      <c r="K280" s="358"/>
      <c r="L280" s="358"/>
      <c r="M280" s="358"/>
      <c r="N280" s="230"/>
      <c r="O280" s="358"/>
      <c r="P280" s="230"/>
      <c r="Q280" s="230"/>
      <c r="R280" s="230"/>
      <c r="S280" s="230"/>
      <c r="T280" s="231"/>
      <c r="U280" s="358"/>
      <c r="V280" s="358"/>
      <c r="W280" s="358"/>
      <c r="X280" s="358"/>
      <c r="Y280" s="232">
        <v>1.5</v>
      </c>
      <c r="Z280" s="228" t="s">
        <v>632</v>
      </c>
      <c r="AE280" s="184"/>
      <c r="AF280" s="184"/>
    </row>
    <row r="281" spans="1:32" s="1" customFormat="1" ht="19.5" customHeight="1" x14ac:dyDescent="0.3">
      <c r="A281" s="201"/>
      <c r="B281" s="405"/>
      <c r="C281" s="360"/>
      <c r="D281" s="361" t="s">
        <v>81</v>
      </c>
      <c r="E281" s="361" t="s">
        <v>572</v>
      </c>
      <c r="F281" s="358">
        <v>5</v>
      </c>
      <c r="G281" s="361" t="s">
        <v>35</v>
      </c>
      <c r="H281" s="361">
        <v>15</v>
      </c>
      <c r="I281" s="361"/>
      <c r="J281" s="358">
        <v>45</v>
      </c>
      <c r="K281" s="358"/>
      <c r="L281" s="358"/>
      <c r="M281" s="358"/>
      <c r="N281" s="230"/>
      <c r="O281" s="358">
        <v>3</v>
      </c>
      <c r="P281" s="230"/>
      <c r="Q281" s="230"/>
      <c r="R281" s="230"/>
      <c r="S281" s="230"/>
      <c r="T281" s="231"/>
      <c r="U281" s="358"/>
      <c r="V281" s="358"/>
      <c r="W281" s="358"/>
      <c r="X281" s="358"/>
      <c r="Y281" s="232">
        <v>1.6</v>
      </c>
      <c r="Z281" s="228" t="s">
        <v>633</v>
      </c>
      <c r="AE281" s="184"/>
      <c r="AF281" s="184"/>
    </row>
    <row r="282" spans="1:32" s="1" customFormat="1" ht="19.5" customHeight="1" x14ac:dyDescent="0.3">
      <c r="A282" s="201"/>
      <c r="B282" s="405"/>
      <c r="C282" s="360"/>
      <c r="D282" s="361" t="s">
        <v>81</v>
      </c>
      <c r="E282" s="361" t="s">
        <v>573</v>
      </c>
      <c r="F282" s="358">
        <v>5</v>
      </c>
      <c r="G282" s="361" t="s">
        <v>35</v>
      </c>
      <c r="H282" s="361">
        <v>15</v>
      </c>
      <c r="I282" s="361"/>
      <c r="J282" s="358">
        <v>45</v>
      </c>
      <c r="K282" s="358"/>
      <c r="L282" s="358"/>
      <c r="M282" s="358"/>
      <c r="N282" s="230"/>
      <c r="O282" s="358"/>
      <c r="P282" s="230"/>
      <c r="Q282" s="230"/>
      <c r="R282" s="230"/>
      <c r="S282" s="230"/>
      <c r="T282" s="231"/>
      <c r="U282" s="358"/>
      <c r="V282" s="358"/>
      <c r="W282" s="358"/>
      <c r="X282" s="358"/>
      <c r="Y282" s="232">
        <v>1.5</v>
      </c>
      <c r="Z282" s="228" t="s">
        <v>632</v>
      </c>
      <c r="AE282" s="184"/>
      <c r="AF282" s="184"/>
    </row>
    <row r="283" spans="1:32" s="1" customFormat="1" ht="19.5" customHeight="1" x14ac:dyDescent="0.3">
      <c r="A283" s="201"/>
      <c r="B283" s="405"/>
      <c r="C283" s="360"/>
      <c r="D283" s="361" t="s">
        <v>81</v>
      </c>
      <c r="E283" s="361" t="s">
        <v>574</v>
      </c>
      <c r="F283" s="358">
        <v>5</v>
      </c>
      <c r="G283" s="361" t="s">
        <v>35</v>
      </c>
      <c r="H283" s="361">
        <v>15</v>
      </c>
      <c r="I283" s="361"/>
      <c r="J283" s="358">
        <v>45</v>
      </c>
      <c r="K283" s="358"/>
      <c r="L283" s="358"/>
      <c r="M283" s="358"/>
      <c r="N283" s="230"/>
      <c r="O283" s="358">
        <v>3</v>
      </c>
      <c r="P283" s="230"/>
      <c r="Q283" s="230"/>
      <c r="R283" s="230"/>
      <c r="S283" s="230"/>
      <c r="T283" s="231"/>
      <c r="U283" s="358"/>
      <c r="V283" s="358"/>
      <c r="W283" s="358"/>
      <c r="X283" s="358"/>
      <c r="Y283" s="232">
        <v>1.6</v>
      </c>
      <c r="Z283" s="228" t="s">
        <v>633</v>
      </c>
      <c r="AE283" s="184"/>
      <c r="AF283" s="184"/>
    </row>
    <row r="284" spans="1:32" s="1" customFormat="1" ht="19.5" customHeight="1" x14ac:dyDescent="0.3">
      <c r="A284" s="201"/>
      <c r="B284" s="405"/>
      <c r="C284" s="360"/>
      <c r="D284" s="361" t="s">
        <v>81</v>
      </c>
      <c r="E284" s="361" t="s">
        <v>575</v>
      </c>
      <c r="F284" s="358">
        <v>5</v>
      </c>
      <c r="G284" s="361" t="s">
        <v>35</v>
      </c>
      <c r="H284" s="361">
        <v>15</v>
      </c>
      <c r="I284" s="361"/>
      <c r="J284" s="358">
        <v>45</v>
      </c>
      <c r="K284" s="358"/>
      <c r="L284" s="358"/>
      <c r="M284" s="358"/>
      <c r="N284" s="230"/>
      <c r="O284" s="358"/>
      <c r="P284" s="230"/>
      <c r="Q284" s="230"/>
      <c r="R284" s="230"/>
      <c r="S284" s="230"/>
      <c r="T284" s="231"/>
      <c r="U284" s="358"/>
      <c r="V284" s="358"/>
      <c r="W284" s="358"/>
      <c r="X284" s="358"/>
      <c r="Y284" s="232">
        <v>1.5</v>
      </c>
      <c r="Z284" s="228" t="s">
        <v>632</v>
      </c>
      <c r="AE284" s="184"/>
      <c r="AF284" s="184"/>
    </row>
    <row r="285" spans="1:32" s="1" customFormat="1" ht="19.5" customHeight="1" x14ac:dyDescent="0.3">
      <c r="A285" s="201"/>
      <c r="B285" s="405"/>
      <c r="C285" s="360"/>
      <c r="D285" s="225" t="s">
        <v>41</v>
      </c>
      <c r="E285" s="358" t="s">
        <v>318</v>
      </c>
      <c r="F285" s="358">
        <v>5</v>
      </c>
      <c r="G285" s="358" t="s">
        <v>35</v>
      </c>
      <c r="H285" s="361">
        <v>7</v>
      </c>
      <c r="I285" s="361"/>
      <c r="J285" s="358">
        <v>45</v>
      </c>
      <c r="K285" s="358"/>
      <c r="L285" s="358"/>
      <c r="M285" s="358">
        <v>15</v>
      </c>
      <c r="N285" s="230"/>
      <c r="O285" s="358">
        <v>3</v>
      </c>
      <c r="P285" s="230"/>
      <c r="Q285" s="230"/>
      <c r="R285" s="230"/>
      <c r="S285" s="230"/>
      <c r="T285" s="231"/>
      <c r="U285" s="358"/>
      <c r="V285" s="358"/>
      <c r="W285" s="358"/>
      <c r="X285" s="358"/>
      <c r="Y285" s="232">
        <v>2.1</v>
      </c>
      <c r="Z285" s="228" t="s">
        <v>633</v>
      </c>
      <c r="AE285" s="184"/>
      <c r="AF285" s="184"/>
    </row>
    <row r="286" spans="1:32" s="1" customFormat="1" ht="19.5" customHeight="1" x14ac:dyDescent="0.3">
      <c r="A286" s="201"/>
      <c r="B286" s="405"/>
      <c r="C286" s="360"/>
      <c r="D286" s="358" t="s">
        <v>51</v>
      </c>
      <c r="E286" s="358" t="s">
        <v>576</v>
      </c>
      <c r="F286" s="358">
        <v>5</v>
      </c>
      <c r="G286" s="361" t="s">
        <v>35</v>
      </c>
      <c r="H286" s="361">
        <v>10</v>
      </c>
      <c r="I286" s="361"/>
      <c r="J286" s="358"/>
      <c r="K286" s="358"/>
      <c r="L286" s="358"/>
      <c r="M286" s="358"/>
      <c r="N286" s="230"/>
      <c r="O286" s="358"/>
      <c r="P286" s="230"/>
      <c r="Q286" s="230"/>
      <c r="R286" s="230"/>
      <c r="S286" s="230"/>
      <c r="T286" s="231"/>
      <c r="U286" s="358"/>
      <c r="V286" s="358"/>
      <c r="W286" s="358"/>
      <c r="X286" s="358"/>
      <c r="Y286" s="232"/>
      <c r="Z286" s="228" t="s">
        <v>633</v>
      </c>
      <c r="AE286" s="184"/>
      <c r="AF286" s="184"/>
    </row>
    <row r="287" spans="1:32" s="1" customFormat="1" ht="19.5" customHeight="1" x14ac:dyDescent="0.3">
      <c r="A287" s="201"/>
      <c r="B287" s="405"/>
      <c r="C287" s="360"/>
      <c r="D287" s="358" t="s">
        <v>51</v>
      </c>
      <c r="E287" s="358" t="s">
        <v>577</v>
      </c>
      <c r="F287" s="358">
        <v>5</v>
      </c>
      <c r="G287" s="361" t="s">
        <v>35</v>
      </c>
      <c r="H287" s="361">
        <v>16</v>
      </c>
      <c r="I287" s="361"/>
      <c r="J287" s="358">
        <v>45</v>
      </c>
      <c r="K287" s="358"/>
      <c r="L287" s="358"/>
      <c r="M287" s="358"/>
      <c r="N287" s="230"/>
      <c r="O287" s="358"/>
      <c r="P287" s="230"/>
      <c r="Q287" s="230"/>
      <c r="R287" s="230"/>
      <c r="S287" s="230"/>
      <c r="T287" s="231"/>
      <c r="U287" s="358"/>
      <c r="V287" s="358"/>
      <c r="W287" s="358"/>
      <c r="X287" s="358"/>
      <c r="Y287" s="232">
        <v>1.5</v>
      </c>
      <c r="Z287" s="228" t="s">
        <v>633</v>
      </c>
      <c r="AE287" s="184"/>
      <c r="AF287" s="184"/>
    </row>
    <row r="288" spans="1:32" s="1" customFormat="1" ht="19.5" customHeight="1" x14ac:dyDescent="0.3">
      <c r="A288" s="201"/>
      <c r="B288" s="405"/>
      <c r="C288" s="360"/>
      <c r="D288" s="225" t="s">
        <v>52</v>
      </c>
      <c r="E288" s="361" t="s">
        <v>578</v>
      </c>
      <c r="F288" s="358">
        <v>5</v>
      </c>
      <c r="G288" s="361" t="s">
        <v>35</v>
      </c>
      <c r="H288" s="361">
        <v>15</v>
      </c>
      <c r="I288" s="361"/>
      <c r="J288" s="358">
        <v>45</v>
      </c>
      <c r="K288" s="358"/>
      <c r="L288" s="358"/>
      <c r="M288" s="358"/>
      <c r="N288" s="230"/>
      <c r="O288" s="358">
        <v>3</v>
      </c>
      <c r="P288" s="230"/>
      <c r="Q288" s="230"/>
      <c r="R288" s="230"/>
      <c r="S288" s="230"/>
      <c r="T288" s="231"/>
      <c r="U288" s="358"/>
      <c r="V288" s="358"/>
      <c r="W288" s="358"/>
      <c r="X288" s="358"/>
      <c r="Y288" s="232">
        <v>1.6</v>
      </c>
      <c r="Z288" s="228" t="s">
        <v>631</v>
      </c>
      <c r="AE288" s="184"/>
      <c r="AF288" s="184"/>
    </row>
    <row r="289" spans="1:37" s="1" customFormat="1" ht="19.5" customHeight="1" x14ac:dyDescent="0.3">
      <c r="A289" s="201"/>
      <c r="B289" s="405"/>
      <c r="C289" s="360"/>
      <c r="D289" s="225" t="s">
        <v>52</v>
      </c>
      <c r="E289" s="361" t="s">
        <v>579</v>
      </c>
      <c r="F289" s="358">
        <v>5</v>
      </c>
      <c r="G289" s="361" t="s">
        <v>35</v>
      </c>
      <c r="H289" s="361">
        <v>15</v>
      </c>
      <c r="I289" s="361"/>
      <c r="J289" s="358">
        <v>45</v>
      </c>
      <c r="K289" s="358"/>
      <c r="L289" s="358"/>
      <c r="M289" s="358"/>
      <c r="N289" s="230"/>
      <c r="O289" s="358"/>
      <c r="P289" s="230"/>
      <c r="Q289" s="230"/>
      <c r="R289" s="230"/>
      <c r="S289" s="230"/>
      <c r="T289" s="231"/>
      <c r="U289" s="358"/>
      <c r="V289" s="358"/>
      <c r="W289" s="358"/>
      <c r="X289" s="358"/>
      <c r="Y289" s="232">
        <v>1.5</v>
      </c>
      <c r="Z289" s="228" t="s">
        <v>630</v>
      </c>
      <c r="AE289" s="184"/>
      <c r="AF289" s="184"/>
    </row>
    <row r="290" spans="1:37" s="1" customFormat="1" ht="19.5" customHeight="1" x14ac:dyDescent="0.3">
      <c r="A290" s="201"/>
      <c r="B290" s="405"/>
      <c r="C290" s="360"/>
      <c r="D290" s="225" t="s">
        <v>52</v>
      </c>
      <c r="E290" s="361" t="s">
        <v>580</v>
      </c>
      <c r="F290" s="358">
        <v>5</v>
      </c>
      <c r="G290" s="361" t="s">
        <v>35</v>
      </c>
      <c r="H290" s="361">
        <v>15</v>
      </c>
      <c r="I290" s="361"/>
      <c r="J290" s="358">
        <v>45</v>
      </c>
      <c r="K290" s="358"/>
      <c r="L290" s="358"/>
      <c r="M290" s="358"/>
      <c r="N290" s="230"/>
      <c r="O290" s="358">
        <v>3</v>
      </c>
      <c r="P290" s="230"/>
      <c r="Q290" s="230"/>
      <c r="R290" s="230"/>
      <c r="S290" s="230"/>
      <c r="T290" s="231"/>
      <c r="U290" s="358"/>
      <c r="V290" s="358"/>
      <c r="W290" s="358"/>
      <c r="X290" s="358"/>
      <c r="Y290" s="232">
        <v>1.6</v>
      </c>
      <c r="Z290" s="228" t="s">
        <v>631</v>
      </c>
      <c r="AE290" s="184"/>
      <c r="AF290" s="184"/>
    </row>
    <row r="291" spans="1:37" s="1" customFormat="1" ht="19.5" customHeight="1" x14ac:dyDescent="0.3">
      <c r="A291" s="201"/>
      <c r="B291" s="405"/>
      <c r="C291" s="360"/>
      <c r="D291" s="225" t="s">
        <v>52</v>
      </c>
      <c r="E291" s="361" t="s">
        <v>581</v>
      </c>
      <c r="F291" s="358">
        <v>5</v>
      </c>
      <c r="G291" s="361" t="s">
        <v>35</v>
      </c>
      <c r="H291" s="361">
        <v>15</v>
      </c>
      <c r="I291" s="361"/>
      <c r="J291" s="358">
        <v>45</v>
      </c>
      <c r="K291" s="358"/>
      <c r="L291" s="358"/>
      <c r="M291" s="358"/>
      <c r="N291" s="230"/>
      <c r="O291" s="358"/>
      <c r="P291" s="230"/>
      <c r="Q291" s="230"/>
      <c r="R291" s="230"/>
      <c r="S291" s="230"/>
      <c r="T291" s="231"/>
      <c r="U291" s="358"/>
      <c r="V291" s="358"/>
      <c r="W291" s="358"/>
      <c r="X291" s="358"/>
      <c r="Y291" s="232">
        <v>1.5</v>
      </c>
      <c r="Z291" s="228" t="s">
        <v>630</v>
      </c>
      <c r="AE291" s="184"/>
      <c r="AF291" s="184"/>
    </row>
    <row r="292" spans="1:37" s="1" customFormat="1" ht="19.5" customHeight="1" x14ac:dyDescent="0.3">
      <c r="A292" s="201"/>
      <c r="B292" s="405"/>
      <c r="C292" s="360"/>
      <c r="D292" s="225" t="s">
        <v>52</v>
      </c>
      <c r="E292" s="361" t="s">
        <v>582</v>
      </c>
      <c r="F292" s="358">
        <v>5</v>
      </c>
      <c r="G292" s="361" t="s">
        <v>35</v>
      </c>
      <c r="H292" s="361">
        <v>15</v>
      </c>
      <c r="I292" s="361"/>
      <c r="J292" s="358">
        <v>45</v>
      </c>
      <c r="K292" s="358"/>
      <c r="L292" s="358"/>
      <c r="M292" s="358"/>
      <c r="N292" s="230"/>
      <c r="O292" s="358">
        <v>3</v>
      </c>
      <c r="P292" s="230"/>
      <c r="Q292" s="230"/>
      <c r="R292" s="230"/>
      <c r="S292" s="230"/>
      <c r="T292" s="231"/>
      <c r="U292" s="358"/>
      <c r="V292" s="358"/>
      <c r="W292" s="358"/>
      <c r="X292" s="358"/>
      <c r="Y292" s="232">
        <v>1.6</v>
      </c>
      <c r="Z292" s="228" t="s">
        <v>631</v>
      </c>
      <c r="AD292" s="220"/>
      <c r="AE292" s="220"/>
      <c r="AF292" s="220"/>
      <c r="AG292" s="221"/>
      <c r="AH292" s="221"/>
      <c r="AI292" s="71"/>
      <c r="AJ292" s="71"/>
      <c r="AK292" s="71"/>
    </row>
    <row r="293" spans="1:37" s="1" customFormat="1" ht="19.5" customHeight="1" x14ac:dyDescent="0.3">
      <c r="A293" s="201"/>
      <c r="B293" s="405"/>
      <c r="C293" s="360"/>
      <c r="D293" s="225" t="s">
        <v>52</v>
      </c>
      <c r="E293" s="361" t="s">
        <v>583</v>
      </c>
      <c r="F293" s="358">
        <v>5</v>
      </c>
      <c r="G293" s="361" t="s">
        <v>35</v>
      </c>
      <c r="H293" s="361">
        <v>14</v>
      </c>
      <c r="I293" s="361"/>
      <c r="J293" s="358">
        <v>45</v>
      </c>
      <c r="K293" s="358"/>
      <c r="L293" s="358"/>
      <c r="M293" s="358"/>
      <c r="N293" s="230"/>
      <c r="O293" s="358"/>
      <c r="P293" s="230"/>
      <c r="Q293" s="230"/>
      <c r="R293" s="230"/>
      <c r="S293" s="230"/>
      <c r="T293" s="231"/>
      <c r="U293" s="358"/>
      <c r="V293" s="358"/>
      <c r="W293" s="358"/>
      <c r="X293" s="358"/>
      <c r="Y293" s="232">
        <v>1.5</v>
      </c>
      <c r="Z293" s="228" t="s">
        <v>630</v>
      </c>
      <c r="AD293" s="222"/>
      <c r="AE293" s="220"/>
      <c r="AF293" s="220"/>
      <c r="AG293" s="220"/>
      <c r="AH293" s="221"/>
      <c r="AI293" s="71"/>
      <c r="AJ293" s="71"/>
      <c r="AK293" s="71"/>
    </row>
    <row r="294" spans="1:37" s="1" customFormat="1" ht="19.5" customHeight="1" x14ac:dyDescent="0.3">
      <c r="A294" s="201"/>
      <c r="B294" s="405"/>
      <c r="C294" s="360"/>
      <c r="D294" s="225" t="s">
        <v>52</v>
      </c>
      <c r="E294" s="361" t="s">
        <v>584</v>
      </c>
      <c r="F294" s="358">
        <v>5</v>
      </c>
      <c r="G294" s="361" t="s">
        <v>35</v>
      </c>
      <c r="H294" s="361">
        <v>15</v>
      </c>
      <c r="I294" s="361"/>
      <c r="J294" s="358">
        <v>45</v>
      </c>
      <c r="K294" s="358"/>
      <c r="L294" s="358"/>
      <c r="M294" s="358"/>
      <c r="N294" s="230"/>
      <c r="O294" s="358">
        <v>3</v>
      </c>
      <c r="P294" s="230"/>
      <c r="Q294" s="230"/>
      <c r="R294" s="230"/>
      <c r="S294" s="230"/>
      <c r="T294" s="231"/>
      <c r="U294" s="358"/>
      <c r="V294" s="358"/>
      <c r="W294" s="358"/>
      <c r="X294" s="358"/>
      <c r="Y294" s="232">
        <v>1.6</v>
      </c>
      <c r="Z294" s="228" t="s">
        <v>630</v>
      </c>
      <c r="AD294" s="220"/>
      <c r="AE294" s="220"/>
      <c r="AF294" s="220"/>
      <c r="AG294" s="220"/>
      <c r="AH294" s="221"/>
      <c r="AI294" s="71"/>
      <c r="AJ294" s="71"/>
      <c r="AK294" s="71"/>
    </row>
    <row r="295" spans="1:37" s="1" customFormat="1" ht="19.5" customHeight="1" x14ac:dyDescent="0.3">
      <c r="A295" s="201"/>
      <c r="B295" s="405"/>
      <c r="C295" s="360"/>
      <c r="D295" s="225" t="s">
        <v>52</v>
      </c>
      <c r="E295" s="361" t="s">
        <v>585</v>
      </c>
      <c r="F295" s="358">
        <v>5</v>
      </c>
      <c r="G295" s="361" t="s">
        <v>35</v>
      </c>
      <c r="H295" s="361">
        <v>14</v>
      </c>
      <c r="I295" s="361"/>
      <c r="J295" s="358">
        <v>45</v>
      </c>
      <c r="K295" s="358"/>
      <c r="L295" s="358"/>
      <c r="M295" s="358"/>
      <c r="N295" s="230"/>
      <c r="O295" s="358"/>
      <c r="P295" s="230"/>
      <c r="Q295" s="230"/>
      <c r="R295" s="230"/>
      <c r="S295" s="230"/>
      <c r="T295" s="231"/>
      <c r="U295" s="358"/>
      <c r="V295" s="358"/>
      <c r="W295" s="358"/>
      <c r="X295" s="358"/>
      <c r="Y295" s="232">
        <v>1.5</v>
      </c>
      <c r="Z295" s="228" t="s">
        <v>631</v>
      </c>
      <c r="AD295" s="220"/>
      <c r="AE295" s="220"/>
      <c r="AF295" s="220"/>
      <c r="AG295" s="220"/>
      <c r="AH295" s="221"/>
      <c r="AI295" s="71"/>
      <c r="AJ295" s="71"/>
      <c r="AK295" s="71"/>
    </row>
    <row r="296" spans="1:37" s="1" customFormat="1" ht="19.5" customHeight="1" x14ac:dyDescent="0.3">
      <c r="A296" s="201"/>
      <c r="B296" s="404" t="s">
        <v>343</v>
      </c>
      <c r="C296" s="359"/>
      <c r="D296" s="358" t="s">
        <v>62</v>
      </c>
      <c r="E296" s="358" t="s">
        <v>305</v>
      </c>
      <c r="F296" s="358">
        <v>5</v>
      </c>
      <c r="G296" s="358" t="s">
        <v>32</v>
      </c>
      <c r="H296" s="361">
        <v>8</v>
      </c>
      <c r="I296" s="361"/>
      <c r="J296" s="358">
        <v>45</v>
      </c>
      <c r="K296" s="358"/>
      <c r="L296" s="358"/>
      <c r="M296" s="358">
        <v>15</v>
      </c>
      <c r="N296" s="230"/>
      <c r="O296" s="358">
        <v>3</v>
      </c>
      <c r="P296" s="230"/>
      <c r="Q296" s="230"/>
      <c r="R296" s="230"/>
      <c r="S296" s="230"/>
      <c r="T296" s="231"/>
      <c r="U296" s="358"/>
      <c r="V296" s="358"/>
      <c r="W296" s="358"/>
      <c r="X296" s="358"/>
      <c r="Y296" s="232">
        <v>2.1</v>
      </c>
      <c r="Z296" s="228" t="s">
        <v>634</v>
      </c>
      <c r="AD296" s="71" t="s">
        <v>598</v>
      </c>
      <c r="AE296" s="188">
        <f>Y302+Y303+Y311+Y312+Y305+Y313+Y296</f>
        <v>11.5</v>
      </c>
      <c r="AF296" s="188"/>
      <c r="AG296" s="71"/>
      <c r="AH296" s="71"/>
      <c r="AI296" s="71"/>
      <c r="AJ296" s="71"/>
      <c r="AK296" s="71"/>
    </row>
    <row r="297" spans="1:37" s="1" customFormat="1" ht="19.5" customHeight="1" x14ac:dyDescent="0.3">
      <c r="A297" s="201"/>
      <c r="B297" s="405"/>
      <c r="C297" s="360"/>
      <c r="D297" s="361" t="s">
        <v>210</v>
      </c>
      <c r="E297" s="361" t="s">
        <v>323</v>
      </c>
      <c r="F297" s="358">
        <v>5</v>
      </c>
      <c r="G297" s="358" t="s">
        <v>32</v>
      </c>
      <c r="H297" s="361">
        <v>4</v>
      </c>
      <c r="I297" s="361"/>
      <c r="J297" s="358"/>
      <c r="K297" s="358"/>
      <c r="L297" s="358"/>
      <c r="M297" s="358"/>
      <c r="N297" s="230"/>
      <c r="O297" s="358"/>
      <c r="P297" s="230"/>
      <c r="Q297" s="230"/>
      <c r="R297" s="230"/>
      <c r="S297" s="230"/>
      <c r="T297" s="231"/>
      <c r="U297" s="358"/>
      <c r="V297" s="358"/>
      <c r="W297" s="358"/>
      <c r="X297" s="358"/>
      <c r="Y297" s="232">
        <v>0</v>
      </c>
      <c r="Z297" s="228" t="s">
        <v>634</v>
      </c>
      <c r="AD297" s="1" t="s">
        <v>599</v>
      </c>
      <c r="AE297" s="188" t="e">
        <f>Y303+Y304+Y312+Y313+Y306+#REF!+Y297</f>
        <v>#REF!</v>
      </c>
      <c r="AF297" s="184"/>
    </row>
    <row r="298" spans="1:37" s="1" customFormat="1" ht="19.5" customHeight="1" x14ac:dyDescent="0.3">
      <c r="A298" s="201"/>
      <c r="B298" s="405"/>
      <c r="C298" s="360"/>
      <c r="D298" s="361" t="s">
        <v>81</v>
      </c>
      <c r="E298" s="361" t="s">
        <v>600</v>
      </c>
      <c r="F298" s="358">
        <v>5</v>
      </c>
      <c r="G298" s="358" t="s">
        <v>32</v>
      </c>
      <c r="H298" s="361">
        <v>11</v>
      </c>
      <c r="I298" s="361"/>
      <c r="J298" s="358">
        <v>45</v>
      </c>
      <c r="K298" s="358"/>
      <c r="L298" s="358"/>
      <c r="M298" s="358"/>
      <c r="N298" s="230"/>
      <c r="O298" s="358">
        <v>3</v>
      </c>
      <c r="P298" s="230"/>
      <c r="Q298" s="230"/>
      <c r="R298" s="230"/>
      <c r="S298" s="230"/>
      <c r="T298" s="231"/>
      <c r="U298" s="358"/>
      <c r="V298" s="358"/>
      <c r="W298" s="358"/>
      <c r="X298" s="358"/>
      <c r="Y298" s="232">
        <v>1.6</v>
      </c>
      <c r="Z298" s="228" t="s">
        <v>635</v>
      </c>
      <c r="AD298" s="1" t="s">
        <v>601</v>
      </c>
      <c r="AE298" s="188" t="e">
        <f>Y304+Y305+Y313+#REF!+Y307+#REF!+Y298</f>
        <v>#REF!</v>
      </c>
      <c r="AF298" s="184"/>
    </row>
    <row r="299" spans="1:37" s="1" customFormat="1" ht="19.5" customHeight="1" x14ac:dyDescent="0.3">
      <c r="A299" s="201"/>
      <c r="B299" s="405"/>
      <c r="C299" s="360"/>
      <c r="D299" s="361" t="s">
        <v>81</v>
      </c>
      <c r="E299" s="361" t="s">
        <v>602</v>
      </c>
      <c r="F299" s="358">
        <v>5</v>
      </c>
      <c r="G299" s="358" t="s">
        <v>32</v>
      </c>
      <c r="H299" s="361">
        <v>10</v>
      </c>
      <c r="I299" s="361"/>
      <c r="J299" s="358">
        <v>45</v>
      </c>
      <c r="K299" s="358"/>
      <c r="L299" s="358"/>
      <c r="M299" s="358"/>
      <c r="N299" s="230"/>
      <c r="O299" s="358"/>
      <c r="P299" s="230"/>
      <c r="Q299" s="230"/>
      <c r="R299" s="230"/>
      <c r="S299" s="230"/>
      <c r="T299" s="231"/>
      <c r="U299" s="358"/>
      <c r="V299" s="358"/>
      <c r="W299" s="358"/>
      <c r="X299" s="358"/>
      <c r="Y299" s="232">
        <v>1.5</v>
      </c>
      <c r="Z299" s="228" t="s">
        <v>635</v>
      </c>
      <c r="AE299" s="184"/>
      <c r="AF299" s="184"/>
    </row>
    <row r="300" spans="1:37" s="1" customFormat="1" ht="19.5" customHeight="1" x14ac:dyDescent="0.3">
      <c r="A300" s="201"/>
      <c r="B300" s="405"/>
      <c r="C300" s="360"/>
      <c r="D300" s="358" t="s">
        <v>170</v>
      </c>
      <c r="E300" s="358" t="s">
        <v>586</v>
      </c>
      <c r="F300" s="358">
        <v>5</v>
      </c>
      <c r="G300" s="358" t="s">
        <v>32</v>
      </c>
      <c r="H300" s="361">
        <v>11</v>
      </c>
      <c r="I300" s="361"/>
      <c r="J300" s="358">
        <v>45</v>
      </c>
      <c r="K300" s="358"/>
      <c r="L300" s="358"/>
      <c r="M300" s="358"/>
      <c r="N300" s="230"/>
      <c r="O300" s="358">
        <v>3</v>
      </c>
      <c r="P300" s="230"/>
      <c r="Q300" s="230"/>
      <c r="R300" s="230"/>
      <c r="S300" s="230"/>
      <c r="T300" s="231"/>
      <c r="U300" s="358"/>
      <c r="V300" s="358"/>
      <c r="W300" s="358"/>
      <c r="X300" s="358"/>
      <c r="Y300" s="232">
        <v>1.6</v>
      </c>
      <c r="Z300" s="228" t="s">
        <v>635</v>
      </c>
      <c r="AE300" s="184" t="e">
        <f>SUM(AE296:AE299)</f>
        <v>#REF!</v>
      </c>
      <c r="AF300" s="184"/>
    </row>
    <row r="301" spans="1:37" s="1" customFormat="1" ht="19.5" customHeight="1" x14ac:dyDescent="0.3">
      <c r="A301" s="201"/>
      <c r="B301" s="405"/>
      <c r="C301" s="360"/>
      <c r="D301" s="358" t="s">
        <v>170</v>
      </c>
      <c r="E301" s="358" t="s">
        <v>587</v>
      </c>
      <c r="F301" s="358">
        <v>5</v>
      </c>
      <c r="G301" s="358" t="s">
        <v>32</v>
      </c>
      <c r="H301" s="361">
        <v>10</v>
      </c>
      <c r="I301" s="361"/>
      <c r="J301" s="358">
        <v>45</v>
      </c>
      <c r="K301" s="358"/>
      <c r="L301" s="358"/>
      <c r="M301" s="358"/>
      <c r="N301" s="230"/>
      <c r="O301" s="358"/>
      <c r="P301" s="230"/>
      <c r="Q301" s="230"/>
      <c r="R301" s="230"/>
      <c r="S301" s="230"/>
      <c r="T301" s="231"/>
      <c r="U301" s="358"/>
      <c r="V301" s="358"/>
      <c r="W301" s="358"/>
      <c r="X301" s="358"/>
      <c r="Y301" s="232">
        <v>1.5</v>
      </c>
      <c r="Z301" s="228" t="s">
        <v>636</v>
      </c>
      <c r="AE301" s="184"/>
      <c r="AF301" s="184"/>
    </row>
    <row r="302" spans="1:37" s="1" customFormat="1" ht="19.5" customHeight="1" x14ac:dyDescent="0.3">
      <c r="A302" s="201"/>
      <c r="B302" s="405"/>
      <c r="C302" s="360"/>
      <c r="D302" s="358" t="s">
        <v>61</v>
      </c>
      <c r="E302" s="358" t="s">
        <v>307</v>
      </c>
      <c r="F302" s="358">
        <v>5</v>
      </c>
      <c r="G302" s="358" t="s">
        <v>32</v>
      </c>
      <c r="H302" s="361">
        <v>11</v>
      </c>
      <c r="I302" s="361"/>
      <c r="J302" s="358">
        <v>45</v>
      </c>
      <c r="K302" s="358"/>
      <c r="L302" s="358"/>
      <c r="M302" s="358"/>
      <c r="N302" s="230"/>
      <c r="O302" s="358">
        <v>3</v>
      </c>
      <c r="P302" s="230"/>
      <c r="Q302" s="230"/>
      <c r="R302" s="230"/>
      <c r="S302" s="230"/>
      <c r="T302" s="231"/>
      <c r="U302" s="358"/>
      <c r="V302" s="358"/>
      <c r="W302" s="358"/>
      <c r="X302" s="358"/>
      <c r="Y302" s="232">
        <v>1.6</v>
      </c>
      <c r="Z302" s="228" t="s">
        <v>634</v>
      </c>
      <c r="AE302" s="184"/>
      <c r="AF302" s="184"/>
    </row>
    <row r="303" spans="1:37" s="1" customFormat="1" ht="19.5" customHeight="1" x14ac:dyDescent="0.3">
      <c r="A303" s="201"/>
      <c r="B303" s="405"/>
      <c r="C303" s="360"/>
      <c r="D303" s="225" t="s">
        <v>44</v>
      </c>
      <c r="E303" s="361" t="s">
        <v>308</v>
      </c>
      <c r="F303" s="358">
        <v>5</v>
      </c>
      <c r="G303" s="358" t="s">
        <v>32</v>
      </c>
      <c r="H303" s="361">
        <v>7</v>
      </c>
      <c r="I303" s="361"/>
      <c r="J303" s="358">
        <v>45</v>
      </c>
      <c r="K303" s="358"/>
      <c r="L303" s="358"/>
      <c r="M303" s="358"/>
      <c r="N303" s="230"/>
      <c r="O303" s="358">
        <v>3</v>
      </c>
      <c r="P303" s="230"/>
      <c r="Q303" s="230"/>
      <c r="R303" s="230"/>
      <c r="S303" s="230"/>
      <c r="T303" s="231"/>
      <c r="U303" s="358"/>
      <c r="V303" s="358"/>
      <c r="W303" s="358"/>
      <c r="X303" s="358"/>
      <c r="Y303" s="232">
        <v>1.6</v>
      </c>
      <c r="Z303" s="228" t="s">
        <v>634</v>
      </c>
      <c r="AE303" s="184"/>
      <c r="AF303" s="184"/>
    </row>
    <row r="304" spans="1:37" s="1" customFormat="1" ht="19.5" customHeight="1" x14ac:dyDescent="0.3">
      <c r="A304" s="201"/>
      <c r="B304" s="405"/>
      <c r="C304" s="360"/>
      <c r="D304" s="225" t="s">
        <v>43</v>
      </c>
      <c r="E304" s="361" t="s">
        <v>309</v>
      </c>
      <c r="F304" s="358">
        <v>5</v>
      </c>
      <c r="G304" s="358" t="s">
        <v>32</v>
      </c>
      <c r="H304" s="361">
        <v>7</v>
      </c>
      <c r="I304" s="361"/>
      <c r="J304" s="358"/>
      <c r="K304" s="358"/>
      <c r="L304" s="358"/>
      <c r="M304" s="358"/>
      <c r="N304" s="230"/>
      <c r="O304" s="358"/>
      <c r="P304" s="230"/>
      <c r="Q304" s="230"/>
      <c r="R304" s="230"/>
      <c r="S304" s="230"/>
      <c r="T304" s="231"/>
      <c r="U304" s="358"/>
      <c r="V304" s="358"/>
      <c r="W304" s="358"/>
      <c r="X304" s="358"/>
      <c r="Y304" s="232">
        <v>0</v>
      </c>
      <c r="Z304" s="228" t="s">
        <v>634</v>
      </c>
      <c r="AE304" s="184"/>
      <c r="AF304" s="184"/>
    </row>
    <row r="305" spans="1:32" s="1" customFormat="1" ht="19.5" customHeight="1" x14ac:dyDescent="0.3">
      <c r="A305" s="201"/>
      <c r="B305" s="405"/>
      <c r="C305" s="360"/>
      <c r="D305" s="225" t="s">
        <v>41</v>
      </c>
      <c r="E305" s="358" t="s">
        <v>317</v>
      </c>
      <c r="F305" s="358">
        <v>5</v>
      </c>
      <c r="G305" s="358" t="s">
        <v>32</v>
      </c>
      <c r="H305" s="361">
        <v>6</v>
      </c>
      <c r="I305" s="361"/>
      <c r="J305" s="358">
        <v>45</v>
      </c>
      <c r="K305" s="358"/>
      <c r="L305" s="358"/>
      <c r="M305" s="358"/>
      <c r="N305" s="230"/>
      <c r="O305" s="358">
        <v>3</v>
      </c>
      <c r="P305" s="230"/>
      <c r="Q305" s="230"/>
      <c r="R305" s="230"/>
      <c r="S305" s="230"/>
      <c r="T305" s="231"/>
      <c r="U305" s="358"/>
      <c r="V305" s="358"/>
      <c r="W305" s="358"/>
      <c r="X305" s="358"/>
      <c r="Y305" s="232">
        <v>1.6</v>
      </c>
      <c r="Z305" s="228" t="s">
        <v>634</v>
      </c>
      <c r="AE305" s="184"/>
      <c r="AF305" s="184"/>
    </row>
    <row r="306" spans="1:32" s="1" customFormat="1" ht="19.5" customHeight="1" x14ac:dyDescent="0.3">
      <c r="A306" s="201"/>
      <c r="B306" s="405"/>
      <c r="C306" s="360"/>
      <c r="D306" s="358" t="s">
        <v>51</v>
      </c>
      <c r="E306" s="358" t="s">
        <v>314</v>
      </c>
      <c r="F306" s="358">
        <v>5</v>
      </c>
      <c r="G306" s="358" t="s">
        <v>32</v>
      </c>
      <c r="H306" s="361">
        <v>9</v>
      </c>
      <c r="I306" s="361"/>
      <c r="J306" s="358"/>
      <c r="K306" s="358"/>
      <c r="L306" s="358"/>
      <c r="M306" s="358"/>
      <c r="N306" s="230"/>
      <c r="O306" s="358"/>
      <c r="P306" s="230"/>
      <c r="Q306" s="230"/>
      <c r="R306" s="230"/>
      <c r="S306" s="230"/>
      <c r="T306" s="231"/>
      <c r="U306" s="358"/>
      <c r="V306" s="358"/>
      <c r="W306" s="358"/>
      <c r="X306" s="358"/>
      <c r="Y306" s="232">
        <v>0</v>
      </c>
      <c r="Z306" s="228" t="s">
        <v>634</v>
      </c>
      <c r="AE306" s="184"/>
      <c r="AF306" s="184"/>
    </row>
    <row r="307" spans="1:32" s="1" customFormat="1" ht="19.5" customHeight="1" x14ac:dyDescent="0.3">
      <c r="A307" s="201"/>
      <c r="B307" s="405"/>
      <c r="C307" s="360"/>
      <c r="D307" s="361" t="s">
        <v>60</v>
      </c>
      <c r="E307" s="361" t="s">
        <v>310</v>
      </c>
      <c r="F307" s="358">
        <v>5</v>
      </c>
      <c r="G307" s="358" t="s">
        <v>32</v>
      </c>
      <c r="H307" s="361">
        <v>16</v>
      </c>
      <c r="I307" s="361"/>
      <c r="J307" s="358">
        <v>45</v>
      </c>
      <c r="K307" s="358"/>
      <c r="L307" s="358"/>
      <c r="M307" s="358"/>
      <c r="N307" s="230"/>
      <c r="O307" s="358">
        <v>3</v>
      </c>
      <c r="P307" s="230"/>
      <c r="Q307" s="230"/>
      <c r="R307" s="230"/>
      <c r="S307" s="230"/>
      <c r="T307" s="231"/>
      <c r="U307" s="358"/>
      <c r="V307" s="358"/>
      <c r="W307" s="358"/>
      <c r="X307" s="358"/>
      <c r="Y307" s="232">
        <v>1.6</v>
      </c>
      <c r="Z307" s="228" t="s">
        <v>636</v>
      </c>
      <c r="AE307" s="184"/>
      <c r="AF307" s="184"/>
    </row>
    <row r="308" spans="1:32" s="1" customFormat="1" ht="19.5" customHeight="1" x14ac:dyDescent="0.3">
      <c r="A308" s="201"/>
      <c r="B308" s="405"/>
      <c r="C308" s="360"/>
      <c r="D308" s="225" t="s">
        <v>114</v>
      </c>
      <c r="E308" s="358" t="s">
        <v>312</v>
      </c>
      <c r="F308" s="358">
        <v>5</v>
      </c>
      <c r="G308" s="358" t="s">
        <v>32</v>
      </c>
      <c r="H308" s="361">
        <v>14</v>
      </c>
      <c r="I308" s="361"/>
      <c r="J308" s="358">
        <v>45</v>
      </c>
      <c r="K308" s="358"/>
      <c r="L308" s="358"/>
      <c r="M308" s="358"/>
      <c r="N308" s="230"/>
      <c r="O308" s="358">
        <v>3</v>
      </c>
      <c r="P308" s="230"/>
      <c r="Q308" s="230"/>
      <c r="R308" s="230"/>
      <c r="S308" s="230"/>
      <c r="T308" s="231"/>
      <c r="U308" s="358"/>
      <c r="V308" s="358"/>
      <c r="W308" s="358"/>
      <c r="X308" s="358"/>
      <c r="Y308" s="232">
        <v>1.6</v>
      </c>
      <c r="Z308" s="228" t="s">
        <v>635</v>
      </c>
      <c r="AE308" s="184"/>
      <c r="AF308" s="184"/>
    </row>
    <row r="309" spans="1:32" s="1" customFormat="1" ht="19.5" customHeight="1" x14ac:dyDescent="0.3">
      <c r="A309" s="201"/>
      <c r="B309" s="405"/>
      <c r="C309" s="360"/>
      <c r="D309" s="225" t="s">
        <v>46</v>
      </c>
      <c r="E309" s="361" t="s">
        <v>313</v>
      </c>
      <c r="F309" s="358">
        <v>5</v>
      </c>
      <c r="G309" s="358" t="s">
        <v>32</v>
      </c>
      <c r="H309" s="361">
        <v>12</v>
      </c>
      <c r="I309" s="361"/>
      <c r="J309" s="358">
        <v>45</v>
      </c>
      <c r="K309" s="358"/>
      <c r="L309" s="358"/>
      <c r="M309" s="358"/>
      <c r="N309" s="230"/>
      <c r="O309" s="358">
        <v>3</v>
      </c>
      <c r="P309" s="230"/>
      <c r="Q309" s="230"/>
      <c r="R309" s="230"/>
      <c r="S309" s="230"/>
      <c r="T309" s="231"/>
      <c r="U309" s="358"/>
      <c r="V309" s="358"/>
      <c r="W309" s="358"/>
      <c r="X309" s="358"/>
      <c r="Y309" s="232">
        <v>1.6</v>
      </c>
      <c r="Z309" s="228" t="s">
        <v>635</v>
      </c>
      <c r="AE309" s="184"/>
      <c r="AF309" s="184"/>
    </row>
    <row r="310" spans="1:32" s="1" customFormat="1" ht="19.5" customHeight="1" x14ac:dyDescent="0.3">
      <c r="A310" s="201"/>
      <c r="B310" s="405"/>
      <c r="C310" s="360"/>
      <c r="D310" s="225" t="s">
        <v>52</v>
      </c>
      <c r="E310" s="361" t="s">
        <v>588</v>
      </c>
      <c r="F310" s="358">
        <v>5</v>
      </c>
      <c r="G310" s="358" t="s">
        <v>32</v>
      </c>
      <c r="H310" s="361">
        <v>15</v>
      </c>
      <c r="I310" s="361"/>
      <c r="J310" s="358">
        <v>45</v>
      </c>
      <c r="K310" s="358"/>
      <c r="L310" s="358"/>
      <c r="M310" s="358">
        <v>15</v>
      </c>
      <c r="N310" s="230"/>
      <c r="O310" s="358">
        <v>3</v>
      </c>
      <c r="P310" s="230"/>
      <c r="Q310" s="230"/>
      <c r="R310" s="230"/>
      <c r="S310" s="230"/>
      <c r="T310" s="231"/>
      <c r="U310" s="358"/>
      <c r="V310" s="358"/>
      <c r="W310" s="358"/>
      <c r="X310" s="358"/>
      <c r="Y310" s="232">
        <v>2.1</v>
      </c>
      <c r="Z310" s="228" t="s">
        <v>635</v>
      </c>
      <c r="AE310" s="184"/>
      <c r="AF310" s="184"/>
    </row>
    <row r="311" spans="1:32" s="1" customFormat="1" ht="19.5" customHeight="1" x14ac:dyDescent="0.3">
      <c r="A311" s="201"/>
      <c r="B311" s="405"/>
      <c r="C311" s="360"/>
      <c r="D311" s="225" t="s">
        <v>52</v>
      </c>
      <c r="E311" s="361" t="s">
        <v>589</v>
      </c>
      <c r="F311" s="358">
        <v>5</v>
      </c>
      <c r="G311" s="358" t="s">
        <v>32</v>
      </c>
      <c r="H311" s="361">
        <v>15</v>
      </c>
      <c r="I311" s="361"/>
      <c r="J311" s="358">
        <v>45</v>
      </c>
      <c r="K311" s="358"/>
      <c r="L311" s="358"/>
      <c r="M311" s="358"/>
      <c r="N311" s="230"/>
      <c r="O311" s="358"/>
      <c r="P311" s="230"/>
      <c r="Q311" s="230"/>
      <c r="R311" s="230"/>
      <c r="S311" s="230"/>
      <c r="T311" s="231"/>
      <c r="U311" s="358"/>
      <c r="V311" s="358"/>
      <c r="W311" s="358"/>
      <c r="X311" s="358"/>
      <c r="Y311" s="232">
        <v>1.5</v>
      </c>
      <c r="Z311" s="228" t="s">
        <v>634</v>
      </c>
      <c r="AE311" s="184"/>
      <c r="AF311" s="184"/>
    </row>
    <row r="312" spans="1:32" s="1" customFormat="1" ht="19.5" customHeight="1" x14ac:dyDescent="0.3">
      <c r="A312" s="201"/>
      <c r="B312" s="405"/>
      <c r="C312" s="360"/>
      <c r="D312" s="225" t="s">
        <v>52</v>
      </c>
      <c r="E312" s="361" t="s">
        <v>590</v>
      </c>
      <c r="F312" s="358">
        <v>5</v>
      </c>
      <c r="G312" s="358" t="s">
        <v>32</v>
      </c>
      <c r="H312" s="361">
        <v>15</v>
      </c>
      <c r="I312" s="361"/>
      <c r="J312" s="358">
        <v>45</v>
      </c>
      <c r="K312" s="358"/>
      <c r="L312" s="358"/>
      <c r="M312" s="358"/>
      <c r="N312" s="230"/>
      <c r="O312" s="358">
        <v>3</v>
      </c>
      <c r="P312" s="230"/>
      <c r="Q312" s="230"/>
      <c r="R312" s="230"/>
      <c r="S312" s="230"/>
      <c r="T312" s="231"/>
      <c r="U312" s="358"/>
      <c r="V312" s="358"/>
      <c r="W312" s="358"/>
      <c r="X312" s="358"/>
      <c r="Y312" s="232">
        <v>1.6</v>
      </c>
      <c r="Z312" s="228" t="s">
        <v>634</v>
      </c>
      <c r="AE312" s="184"/>
      <c r="AF312" s="184"/>
    </row>
    <row r="313" spans="1:32" s="1" customFormat="1" ht="19.5" customHeight="1" x14ac:dyDescent="0.3">
      <c r="A313" s="201"/>
      <c r="B313" s="405"/>
      <c r="C313" s="360"/>
      <c r="D313" s="225" t="s">
        <v>52</v>
      </c>
      <c r="E313" s="361" t="s">
        <v>591</v>
      </c>
      <c r="F313" s="358">
        <v>5</v>
      </c>
      <c r="G313" s="358" t="s">
        <v>32</v>
      </c>
      <c r="H313" s="361">
        <v>15</v>
      </c>
      <c r="I313" s="361"/>
      <c r="J313" s="358">
        <v>45</v>
      </c>
      <c r="K313" s="358"/>
      <c r="L313" s="358"/>
      <c r="M313" s="358"/>
      <c r="N313" s="230"/>
      <c r="O313" s="358"/>
      <c r="P313" s="230"/>
      <c r="Q313" s="230"/>
      <c r="R313" s="230"/>
      <c r="S313" s="230"/>
      <c r="T313" s="231"/>
      <c r="U313" s="358"/>
      <c r="V313" s="358"/>
      <c r="W313" s="358"/>
      <c r="X313" s="358"/>
      <c r="Y313" s="232">
        <v>1.5</v>
      </c>
      <c r="Z313" s="228" t="s">
        <v>634</v>
      </c>
      <c r="AE313" s="184"/>
      <c r="AF313" s="184"/>
    </row>
    <row r="314" spans="1:32" s="1" customFormat="1" ht="20.25" customHeight="1" x14ac:dyDescent="0.3">
      <c r="A314" s="398"/>
      <c r="B314" s="395" t="s">
        <v>50</v>
      </c>
      <c r="C314" s="356"/>
      <c r="D314" s="358" t="s">
        <v>45</v>
      </c>
      <c r="E314" s="358" t="s">
        <v>95</v>
      </c>
      <c r="F314" s="358">
        <v>5</v>
      </c>
      <c r="G314" s="358" t="s">
        <v>35</v>
      </c>
      <c r="H314" s="358">
        <v>25</v>
      </c>
      <c r="I314" s="361">
        <v>30</v>
      </c>
      <c r="J314" s="358">
        <v>15</v>
      </c>
      <c r="K314" s="358"/>
      <c r="L314" s="358"/>
      <c r="M314" s="358">
        <v>15</v>
      </c>
      <c r="N314" s="230"/>
      <c r="O314" s="230">
        <v>3</v>
      </c>
      <c r="P314" s="230"/>
      <c r="Q314" s="230"/>
      <c r="R314" s="230"/>
      <c r="S314" s="230"/>
      <c r="T314" s="231"/>
      <c r="U314" s="358"/>
      <c r="V314" s="358"/>
      <c r="W314" s="358"/>
      <c r="X314" s="358"/>
      <c r="Y314" s="232">
        <v>2.1</v>
      </c>
      <c r="Z314" s="228" t="s">
        <v>616</v>
      </c>
      <c r="AE314" s="184"/>
      <c r="AF314" s="184"/>
    </row>
    <row r="315" spans="1:32" s="1" customFormat="1" ht="20.25" customHeight="1" x14ac:dyDescent="0.3">
      <c r="A315" s="398"/>
      <c r="B315" s="396"/>
      <c r="C315" s="357"/>
      <c r="D315" s="358" t="s">
        <v>45</v>
      </c>
      <c r="E315" s="358" t="s">
        <v>96</v>
      </c>
      <c r="F315" s="358">
        <v>5</v>
      </c>
      <c r="G315" s="358" t="s">
        <v>35</v>
      </c>
      <c r="H315" s="358">
        <v>25</v>
      </c>
      <c r="I315" s="361"/>
      <c r="J315" s="358">
        <v>15</v>
      </c>
      <c r="K315" s="358"/>
      <c r="L315" s="358"/>
      <c r="M315" s="358"/>
      <c r="N315" s="230"/>
      <c r="O315" s="230">
        <v>3</v>
      </c>
      <c r="P315" s="230"/>
      <c r="Q315" s="230"/>
      <c r="R315" s="230"/>
      <c r="S315" s="230"/>
      <c r="T315" s="231"/>
      <c r="U315" s="358"/>
      <c r="V315" s="358"/>
      <c r="W315" s="358"/>
      <c r="X315" s="358"/>
      <c r="Y315" s="232">
        <v>0.6</v>
      </c>
      <c r="Z315" s="228" t="s">
        <v>616</v>
      </c>
      <c r="AE315" s="184"/>
      <c r="AF315" s="184"/>
    </row>
    <row r="316" spans="1:32" s="1" customFormat="1" ht="20.25" customHeight="1" x14ac:dyDescent="0.3">
      <c r="A316" s="398"/>
      <c r="B316" s="396"/>
      <c r="C316" s="357"/>
      <c r="D316" s="358" t="s">
        <v>45</v>
      </c>
      <c r="E316" s="358" t="s">
        <v>151</v>
      </c>
      <c r="F316" s="358">
        <v>5</v>
      </c>
      <c r="G316" s="358" t="s">
        <v>35</v>
      </c>
      <c r="H316" s="358">
        <v>26</v>
      </c>
      <c r="I316" s="361"/>
      <c r="J316" s="358">
        <v>15</v>
      </c>
      <c r="K316" s="358"/>
      <c r="L316" s="358"/>
      <c r="M316" s="358"/>
      <c r="N316" s="230"/>
      <c r="O316" s="230">
        <v>3</v>
      </c>
      <c r="P316" s="230"/>
      <c r="Q316" s="230"/>
      <c r="R316" s="230"/>
      <c r="S316" s="230"/>
      <c r="T316" s="231"/>
      <c r="U316" s="358"/>
      <c r="V316" s="358"/>
      <c r="W316" s="358"/>
      <c r="X316" s="358"/>
      <c r="Y316" s="232">
        <v>0.6</v>
      </c>
      <c r="Z316" s="228" t="s">
        <v>616</v>
      </c>
      <c r="AE316" s="184"/>
      <c r="AF316" s="184"/>
    </row>
    <row r="317" spans="1:32" s="1" customFormat="1" ht="20.25" customHeight="1" x14ac:dyDescent="0.3">
      <c r="A317" s="398"/>
      <c r="B317" s="396"/>
      <c r="C317" s="357"/>
      <c r="D317" s="358" t="s">
        <v>45</v>
      </c>
      <c r="E317" s="358" t="s">
        <v>152</v>
      </c>
      <c r="F317" s="358">
        <v>5</v>
      </c>
      <c r="G317" s="358" t="s">
        <v>35</v>
      </c>
      <c r="H317" s="358">
        <v>26</v>
      </c>
      <c r="I317" s="361"/>
      <c r="J317" s="358">
        <v>15</v>
      </c>
      <c r="K317" s="358"/>
      <c r="L317" s="358"/>
      <c r="M317" s="358"/>
      <c r="N317" s="230"/>
      <c r="O317" s="230">
        <v>3</v>
      </c>
      <c r="P317" s="230"/>
      <c r="Q317" s="230"/>
      <c r="R317" s="230"/>
      <c r="S317" s="230"/>
      <c r="T317" s="231"/>
      <c r="U317" s="358"/>
      <c r="V317" s="358"/>
      <c r="W317" s="358"/>
      <c r="X317" s="358"/>
      <c r="Y317" s="232">
        <v>0.6</v>
      </c>
      <c r="Z317" s="228" t="s">
        <v>616</v>
      </c>
      <c r="AE317" s="184"/>
      <c r="AF317" s="184"/>
    </row>
    <row r="318" spans="1:32" s="1" customFormat="1" ht="20.25" customHeight="1" x14ac:dyDescent="0.3">
      <c r="A318" s="398"/>
      <c r="B318" s="396"/>
      <c r="C318" s="357"/>
      <c r="D318" s="358" t="s">
        <v>45</v>
      </c>
      <c r="E318" s="358" t="s">
        <v>166</v>
      </c>
      <c r="F318" s="358">
        <v>5</v>
      </c>
      <c r="G318" s="358" t="s">
        <v>35</v>
      </c>
      <c r="H318" s="358">
        <v>26</v>
      </c>
      <c r="I318" s="361"/>
      <c r="J318" s="358">
        <v>15</v>
      </c>
      <c r="K318" s="358"/>
      <c r="L318" s="358"/>
      <c r="M318" s="358"/>
      <c r="N318" s="230"/>
      <c r="O318" s="230">
        <v>3</v>
      </c>
      <c r="P318" s="230"/>
      <c r="Q318" s="230"/>
      <c r="R318" s="230"/>
      <c r="S318" s="230"/>
      <c r="T318" s="231"/>
      <c r="U318" s="358"/>
      <c r="V318" s="358"/>
      <c r="W318" s="358"/>
      <c r="X318" s="358"/>
      <c r="Y318" s="232">
        <v>0.6</v>
      </c>
      <c r="Z318" s="228" t="s">
        <v>616</v>
      </c>
      <c r="AE318" s="184"/>
      <c r="AF318" s="184"/>
    </row>
    <row r="319" spans="1:32" s="1" customFormat="1" ht="20.25" customHeight="1" x14ac:dyDescent="0.3">
      <c r="A319" s="398"/>
      <c r="B319" s="396"/>
      <c r="C319" s="357"/>
      <c r="D319" s="358" t="s">
        <v>61</v>
      </c>
      <c r="E319" s="358" t="s">
        <v>153</v>
      </c>
      <c r="F319" s="358">
        <v>5</v>
      </c>
      <c r="G319" s="361" t="s">
        <v>35</v>
      </c>
      <c r="H319" s="361">
        <v>11</v>
      </c>
      <c r="I319" s="361">
        <v>30</v>
      </c>
      <c r="J319" s="358">
        <v>15</v>
      </c>
      <c r="K319" s="358"/>
      <c r="L319" s="358"/>
      <c r="M319" s="358">
        <v>15</v>
      </c>
      <c r="N319" s="230"/>
      <c r="O319" s="230">
        <v>3</v>
      </c>
      <c r="P319" s="230"/>
      <c r="Q319" s="230"/>
      <c r="R319" s="230"/>
      <c r="S319" s="230"/>
      <c r="T319" s="231"/>
      <c r="U319" s="358"/>
      <c r="V319" s="358"/>
      <c r="W319" s="358"/>
      <c r="X319" s="358"/>
      <c r="Y319" s="232">
        <v>2.1</v>
      </c>
      <c r="Z319" s="228" t="s">
        <v>616</v>
      </c>
      <c r="AE319" s="184"/>
      <c r="AF319" s="184"/>
    </row>
    <row r="320" spans="1:32" s="1" customFormat="1" ht="20.25" customHeight="1" x14ac:dyDescent="0.3">
      <c r="A320" s="398"/>
      <c r="B320" s="396"/>
      <c r="C320" s="357"/>
      <c r="D320" s="358" t="s">
        <v>43</v>
      </c>
      <c r="E320" s="358" t="s">
        <v>111</v>
      </c>
      <c r="F320" s="358">
        <v>5</v>
      </c>
      <c r="G320" s="358" t="s">
        <v>35</v>
      </c>
      <c r="H320" s="358">
        <v>12</v>
      </c>
      <c r="I320" s="361"/>
      <c r="J320" s="358"/>
      <c r="K320" s="358"/>
      <c r="L320" s="358"/>
      <c r="M320" s="358"/>
      <c r="N320" s="230"/>
      <c r="O320" s="230"/>
      <c r="P320" s="230"/>
      <c r="Q320" s="230"/>
      <c r="R320" s="230"/>
      <c r="S320" s="230"/>
      <c r="T320" s="231"/>
      <c r="U320" s="358"/>
      <c r="V320" s="358"/>
      <c r="W320" s="358"/>
      <c r="X320" s="358"/>
      <c r="Y320" s="232">
        <v>0</v>
      </c>
      <c r="Z320" s="228" t="s">
        <v>616</v>
      </c>
      <c r="AE320" s="184"/>
      <c r="AF320" s="184"/>
    </row>
    <row r="321" spans="1:32" s="1" customFormat="1" ht="20.25" customHeight="1" x14ac:dyDescent="0.3">
      <c r="A321" s="398"/>
      <c r="B321" s="396"/>
      <c r="C321" s="357"/>
      <c r="D321" s="358" t="s">
        <v>51</v>
      </c>
      <c r="E321" s="358" t="s">
        <v>100</v>
      </c>
      <c r="F321" s="358">
        <v>5</v>
      </c>
      <c r="G321" s="361" t="s">
        <v>35</v>
      </c>
      <c r="H321" s="358">
        <v>27</v>
      </c>
      <c r="I321" s="361"/>
      <c r="J321" s="358">
        <v>15</v>
      </c>
      <c r="K321" s="358"/>
      <c r="L321" s="358"/>
      <c r="M321" s="358"/>
      <c r="N321" s="230"/>
      <c r="O321" s="230">
        <v>3</v>
      </c>
      <c r="P321" s="230"/>
      <c r="Q321" s="230"/>
      <c r="R321" s="230"/>
      <c r="S321" s="230"/>
      <c r="T321" s="231"/>
      <c r="U321" s="358"/>
      <c r="V321" s="358"/>
      <c r="W321" s="358"/>
      <c r="X321" s="358"/>
      <c r="Y321" s="232">
        <v>0.6</v>
      </c>
      <c r="Z321" s="228" t="s">
        <v>616</v>
      </c>
      <c r="AE321" s="184"/>
      <c r="AF321" s="184"/>
    </row>
    <row r="322" spans="1:32" s="1" customFormat="1" ht="20.25" customHeight="1" x14ac:dyDescent="0.3">
      <c r="A322" s="398"/>
      <c r="B322" s="396"/>
      <c r="C322" s="357"/>
      <c r="D322" s="225" t="s">
        <v>46</v>
      </c>
      <c r="E322" s="361" t="s">
        <v>86</v>
      </c>
      <c r="F322" s="358">
        <v>5</v>
      </c>
      <c r="G322" s="361" t="s">
        <v>35</v>
      </c>
      <c r="H322" s="361">
        <v>19</v>
      </c>
      <c r="I322" s="361"/>
      <c r="J322" s="358">
        <v>15</v>
      </c>
      <c r="K322" s="358"/>
      <c r="L322" s="358"/>
      <c r="M322" s="358"/>
      <c r="N322" s="230"/>
      <c r="O322" s="230">
        <v>3</v>
      </c>
      <c r="P322" s="230"/>
      <c r="Q322" s="230"/>
      <c r="R322" s="230"/>
      <c r="S322" s="230"/>
      <c r="T322" s="231"/>
      <c r="U322" s="358"/>
      <c r="V322" s="358"/>
      <c r="W322" s="358"/>
      <c r="X322" s="358"/>
      <c r="Y322" s="232">
        <v>0.6</v>
      </c>
      <c r="Z322" s="228" t="s">
        <v>616</v>
      </c>
      <c r="AE322" s="184"/>
      <c r="AF322" s="184"/>
    </row>
    <row r="323" spans="1:32" s="1" customFormat="1" ht="20.25" customHeight="1" x14ac:dyDescent="0.3">
      <c r="A323" s="398"/>
      <c r="B323" s="396"/>
      <c r="C323" s="357"/>
      <c r="D323" s="225" t="s">
        <v>46</v>
      </c>
      <c r="E323" s="361" t="s">
        <v>88</v>
      </c>
      <c r="F323" s="358">
        <v>5</v>
      </c>
      <c r="G323" s="361" t="s">
        <v>35</v>
      </c>
      <c r="H323" s="361">
        <v>18</v>
      </c>
      <c r="I323" s="361"/>
      <c r="J323" s="358">
        <v>15</v>
      </c>
      <c r="K323" s="358"/>
      <c r="L323" s="358"/>
      <c r="M323" s="358"/>
      <c r="N323" s="230"/>
      <c r="O323" s="230">
        <v>3</v>
      </c>
      <c r="P323" s="230"/>
      <c r="Q323" s="230"/>
      <c r="R323" s="230"/>
      <c r="S323" s="230"/>
      <c r="T323" s="231"/>
      <c r="U323" s="358"/>
      <c r="V323" s="358"/>
      <c r="W323" s="358"/>
      <c r="X323" s="358"/>
      <c r="Y323" s="232">
        <v>0.6</v>
      </c>
      <c r="Z323" s="228" t="s">
        <v>616</v>
      </c>
      <c r="AE323" s="184"/>
      <c r="AF323" s="184"/>
    </row>
    <row r="324" spans="1:32" s="1" customFormat="1" ht="20.25" customHeight="1" x14ac:dyDescent="0.3">
      <c r="A324" s="398"/>
      <c r="B324" s="396"/>
      <c r="C324" s="357"/>
      <c r="D324" s="225" t="s">
        <v>114</v>
      </c>
      <c r="E324" s="358" t="s">
        <v>155</v>
      </c>
      <c r="F324" s="358">
        <v>5</v>
      </c>
      <c r="G324" s="361" t="s">
        <v>35</v>
      </c>
      <c r="H324" s="358">
        <v>27</v>
      </c>
      <c r="I324" s="361"/>
      <c r="J324" s="358">
        <v>15</v>
      </c>
      <c r="K324" s="358"/>
      <c r="L324" s="358"/>
      <c r="M324" s="358"/>
      <c r="N324" s="230"/>
      <c r="O324" s="230">
        <v>3</v>
      </c>
      <c r="P324" s="230"/>
      <c r="Q324" s="230"/>
      <c r="R324" s="230"/>
      <c r="S324" s="230"/>
      <c r="T324" s="231"/>
      <c r="U324" s="358"/>
      <c r="V324" s="358"/>
      <c r="W324" s="358"/>
      <c r="X324" s="358"/>
      <c r="Y324" s="232">
        <v>0.6</v>
      </c>
      <c r="Z324" s="228" t="s">
        <v>616</v>
      </c>
      <c r="AE324" s="184"/>
      <c r="AF324" s="184"/>
    </row>
    <row r="325" spans="1:32" s="1" customFormat="1" ht="20.25" customHeight="1" x14ac:dyDescent="0.3">
      <c r="A325" s="398"/>
      <c r="B325" s="396"/>
      <c r="C325" s="357"/>
      <c r="D325" s="225" t="s">
        <v>44</v>
      </c>
      <c r="E325" s="361" t="s">
        <v>87</v>
      </c>
      <c r="F325" s="358">
        <v>5</v>
      </c>
      <c r="G325" s="361" t="s">
        <v>35</v>
      </c>
      <c r="H325" s="358">
        <v>20</v>
      </c>
      <c r="I325" s="361"/>
      <c r="J325" s="358">
        <v>15</v>
      </c>
      <c r="K325" s="358"/>
      <c r="L325" s="358"/>
      <c r="M325" s="358"/>
      <c r="N325" s="230"/>
      <c r="O325" s="230">
        <v>3</v>
      </c>
      <c r="P325" s="230"/>
      <c r="Q325" s="230"/>
      <c r="R325" s="230"/>
      <c r="S325" s="230"/>
      <c r="T325" s="231"/>
      <c r="U325" s="358"/>
      <c r="V325" s="358"/>
      <c r="W325" s="358"/>
      <c r="X325" s="358"/>
      <c r="Y325" s="232">
        <v>0.6</v>
      </c>
      <c r="Z325" s="228" t="s">
        <v>616</v>
      </c>
      <c r="AE325" s="184"/>
      <c r="AF325" s="184"/>
    </row>
    <row r="326" spans="1:32" s="1" customFormat="1" ht="20.25" customHeight="1" x14ac:dyDescent="0.3">
      <c r="A326" s="398"/>
      <c r="B326" s="396"/>
      <c r="C326" s="357"/>
      <c r="D326" s="358" t="s">
        <v>60</v>
      </c>
      <c r="E326" s="358" t="s">
        <v>98</v>
      </c>
      <c r="F326" s="358">
        <v>5</v>
      </c>
      <c r="G326" s="361" t="s">
        <v>35</v>
      </c>
      <c r="H326" s="361">
        <v>16</v>
      </c>
      <c r="I326" s="361">
        <v>30</v>
      </c>
      <c r="J326" s="358">
        <v>15</v>
      </c>
      <c r="K326" s="358"/>
      <c r="L326" s="358"/>
      <c r="M326" s="358">
        <v>15</v>
      </c>
      <c r="N326" s="230"/>
      <c r="O326" s="230">
        <v>3</v>
      </c>
      <c r="P326" s="230"/>
      <c r="Q326" s="230"/>
      <c r="R326" s="230"/>
      <c r="S326" s="230"/>
      <c r="T326" s="231"/>
      <c r="U326" s="358"/>
      <c r="V326" s="358"/>
      <c r="W326" s="358"/>
      <c r="X326" s="358"/>
      <c r="Y326" s="232">
        <v>2.1</v>
      </c>
      <c r="Z326" s="228" t="s">
        <v>616</v>
      </c>
      <c r="AE326" s="184"/>
      <c r="AF326" s="184"/>
    </row>
    <row r="327" spans="1:32" s="1" customFormat="1" ht="20.25" customHeight="1" x14ac:dyDescent="0.3">
      <c r="A327" s="398"/>
      <c r="B327" s="396"/>
      <c r="C327" s="357"/>
      <c r="D327" s="361" t="s">
        <v>210</v>
      </c>
      <c r="E327" s="361" t="s">
        <v>251</v>
      </c>
      <c r="F327" s="358">
        <v>5</v>
      </c>
      <c r="G327" s="361" t="s">
        <v>35</v>
      </c>
      <c r="H327" s="361">
        <v>6</v>
      </c>
      <c r="I327" s="361"/>
      <c r="J327" s="358"/>
      <c r="K327" s="358"/>
      <c r="L327" s="358"/>
      <c r="M327" s="358"/>
      <c r="N327" s="230"/>
      <c r="O327" s="230"/>
      <c r="P327" s="230"/>
      <c r="Q327" s="230"/>
      <c r="R327" s="230"/>
      <c r="S327" s="230"/>
      <c r="T327" s="231"/>
      <c r="U327" s="358"/>
      <c r="V327" s="358"/>
      <c r="W327" s="358"/>
      <c r="X327" s="358"/>
      <c r="Y327" s="232">
        <v>0</v>
      </c>
      <c r="Z327" s="228" t="s">
        <v>616</v>
      </c>
      <c r="AE327" s="184"/>
      <c r="AF327" s="184"/>
    </row>
    <row r="328" spans="1:32" s="1" customFormat="1" ht="20.25" customHeight="1" x14ac:dyDescent="0.3">
      <c r="A328" s="398"/>
      <c r="B328" s="396"/>
      <c r="C328" s="357"/>
      <c r="D328" s="358" t="s">
        <v>49</v>
      </c>
      <c r="E328" s="358" t="s">
        <v>91</v>
      </c>
      <c r="F328" s="358">
        <v>5</v>
      </c>
      <c r="G328" s="358" t="s">
        <v>35</v>
      </c>
      <c r="H328" s="358">
        <v>22</v>
      </c>
      <c r="I328" s="361"/>
      <c r="J328" s="358">
        <v>15</v>
      </c>
      <c r="K328" s="358"/>
      <c r="L328" s="358"/>
      <c r="M328" s="358"/>
      <c r="N328" s="230"/>
      <c r="O328" s="230">
        <v>3</v>
      </c>
      <c r="P328" s="230"/>
      <c r="Q328" s="230"/>
      <c r="R328" s="230"/>
      <c r="S328" s="230"/>
      <c r="T328" s="231"/>
      <c r="U328" s="358"/>
      <c r="V328" s="358"/>
      <c r="W328" s="358"/>
      <c r="X328" s="358"/>
      <c r="Y328" s="232">
        <v>0.6</v>
      </c>
      <c r="Z328" s="228" t="s">
        <v>616</v>
      </c>
      <c r="AE328" s="184"/>
      <c r="AF328" s="184"/>
    </row>
    <row r="329" spans="1:32" s="1" customFormat="1" ht="20.25" customHeight="1" x14ac:dyDescent="0.3">
      <c r="A329" s="398"/>
      <c r="B329" s="396"/>
      <c r="C329" s="357"/>
      <c r="D329" s="358" t="s">
        <v>198</v>
      </c>
      <c r="E329" s="358" t="s">
        <v>90</v>
      </c>
      <c r="F329" s="358">
        <v>5</v>
      </c>
      <c r="G329" s="361" t="s">
        <v>35</v>
      </c>
      <c r="H329" s="358">
        <v>10</v>
      </c>
      <c r="I329" s="361"/>
      <c r="J329" s="358"/>
      <c r="K329" s="358"/>
      <c r="L329" s="358"/>
      <c r="M329" s="358"/>
      <c r="N329" s="230"/>
      <c r="O329" s="230"/>
      <c r="P329" s="230"/>
      <c r="Q329" s="230"/>
      <c r="R329" s="230"/>
      <c r="S329" s="230"/>
      <c r="T329" s="231"/>
      <c r="U329" s="358"/>
      <c r="V329" s="358"/>
      <c r="W329" s="358"/>
      <c r="X329" s="358"/>
      <c r="Y329" s="232">
        <v>0</v>
      </c>
      <c r="Z329" s="228" t="s">
        <v>616</v>
      </c>
      <c r="AE329" s="184"/>
      <c r="AF329" s="184"/>
    </row>
    <row r="330" spans="1:32" s="1" customFormat="1" ht="20.25" customHeight="1" x14ac:dyDescent="0.3">
      <c r="A330" s="398"/>
      <c r="B330" s="396"/>
      <c r="C330" s="357"/>
      <c r="D330" s="361" t="s">
        <v>81</v>
      </c>
      <c r="E330" s="361" t="s">
        <v>204</v>
      </c>
      <c r="F330" s="358">
        <v>5</v>
      </c>
      <c r="G330" s="361" t="s">
        <v>35</v>
      </c>
      <c r="H330" s="358">
        <v>25</v>
      </c>
      <c r="I330" s="361"/>
      <c r="J330" s="358">
        <v>15</v>
      </c>
      <c r="K330" s="358"/>
      <c r="L330" s="358"/>
      <c r="M330" s="358">
        <v>15</v>
      </c>
      <c r="N330" s="230"/>
      <c r="O330" s="230">
        <v>3</v>
      </c>
      <c r="P330" s="230"/>
      <c r="Q330" s="230"/>
      <c r="R330" s="230"/>
      <c r="S330" s="230"/>
      <c r="T330" s="231"/>
      <c r="U330" s="358"/>
      <c r="V330" s="358"/>
      <c r="W330" s="358"/>
      <c r="X330" s="358"/>
      <c r="Y330" s="232">
        <v>1.1000000000000001</v>
      </c>
      <c r="Z330" s="228" t="s">
        <v>616</v>
      </c>
      <c r="AE330" s="184"/>
      <c r="AF330" s="184"/>
    </row>
    <row r="331" spans="1:32" s="1" customFormat="1" ht="26.25" customHeight="1" x14ac:dyDescent="0.3">
      <c r="A331" s="398"/>
      <c r="B331" s="396"/>
      <c r="C331" s="357"/>
      <c r="D331" s="361" t="s">
        <v>81</v>
      </c>
      <c r="E331" s="361" t="s">
        <v>205</v>
      </c>
      <c r="F331" s="358">
        <v>5</v>
      </c>
      <c r="G331" s="361" t="s">
        <v>35</v>
      </c>
      <c r="H331" s="358">
        <v>26</v>
      </c>
      <c r="I331" s="361"/>
      <c r="J331" s="358">
        <v>15</v>
      </c>
      <c r="K331" s="358"/>
      <c r="L331" s="358"/>
      <c r="M331" s="358"/>
      <c r="N331" s="230"/>
      <c r="O331" s="230">
        <v>3</v>
      </c>
      <c r="P331" s="230"/>
      <c r="Q331" s="230"/>
      <c r="R331" s="230"/>
      <c r="S331" s="230"/>
      <c r="T331" s="231"/>
      <c r="U331" s="358"/>
      <c r="V331" s="358"/>
      <c r="W331" s="358"/>
      <c r="X331" s="358"/>
      <c r="Y331" s="232">
        <v>0.6</v>
      </c>
      <c r="Z331" s="228" t="s">
        <v>616</v>
      </c>
      <c r="AE331" s="184"/>
      <c r="AF331" s="184"/>
    </row>
    <row r="332" spans="1:32" s="1" customFormat="1" ht="26.25" customHeight="1" x14ac:dyDescent="0.3">
      <c r="A332" s="398"/>
      <c r="B332" s="396"/>
      <c r="C332" s="357"/>
      <c r="D332" s="361" t="s">
        <v>81</v>
      </c>
      <c r="E332" s="361" t="s">
        <v>206</v>
      </c>
      <c r="F332" s="358">
        <v>5</v>
      </c>
      <c r="G332" s="361" t="s">
        <v>35</v>
      </c>
      <c r="H332" s="358">
        <v>25</v>
      </c>
      <c r="I332" s="361"/>
      <c r="J332" s="358">
        <v>15</v>
      </c>
      <c r="K332" s="358"/>
      <c r="L332" s="358"/>
      <c r="M332" s="358"/>
      <c r="N332" s="230"/>
      <c r="O332" s="230">
        <v>3</v>
      </c>
      <c r="P332" s="230"/>
      <c r="Q332" s="230"/>
      <c r="R332" s="230"/>
      <c r="S332" s="230"/>
      <c r="T332" s="231"/>
      <c r="U332" s="358"/>
      <c r="V332" s="358"/>
      <c r="W332" s="358"/>
      <c r="X332" s="358"/>
      <c r="Y332" s="232">
        <v>0.6</v>
      </c>
      <c r="Z332" s="228" t="s">
        <v>616</v>
      </c>
      <c r="AE332" s="184"/>
      <c r="AF332" s="184"/>
    </row>
    <row r="333" spans="1:32" s="1" customFormat="1" ht="20.25" customHeight="1" x14ac:dyDescent="0.3">
      <c r="A333" s="398"/>
      <c r="B333" s="396"/>
      <c r="C333" s="357"/>
      <c r="D333" s="358" t="s">
        <v>51</v>
      </c>
      <c r="E333" s="358" t="s">
        <v>101</v>
      </c>
      <c r="F333" s="358">
        <v>5</v>
      </c>
      <c r="G333" s="361" t="s">
        <v>32</v>
      </c>
      <c r="H333" s="358">
        <v>10</v>
      </c>
      <c r="I333" s="361">
        <v>30</v>
      </c>
      <c r="J333" s="358">
        <v>15</v>
      </c>
      <c r="K333" s="358"/>
      <c r="L333" s="358"/>
      <c r="M333" s="358">
        <v>15</v>
      </c>
      <c r="N333" s="230"/>
      <c r="O333" s="230">
        <v>3</v>
      </c>
      <c r="P333" s="230"/>
      <c r="Q333" s="230"/>
      <c r="R333" s="230"/>
      <c r="S333" s="230"/>
      <c r="T333" s="231"/>
      <c r="U333" s="358"/>
      <c r="V333" s="358"/>
      <c r="W333" s="358"/>
      <c r="X333" s="358"/>
      <c r="Y333" s="232">
        <v>2.1</v>
      </c>
      <c r="Z333" s="228" t="s">
        <v>603</v>
      </c>
      <c r="AE333" s="184"/>
      <c r="AF333" s="184"/>
    </row>
    <row r="334" spans="1:32" s="1" customFormat="1" ht="20.25" customHeight="1" x14ac:dyDescent="0.25">
      <c r="A334" s="398"/>
      <c r="B334" s="396"/>
      <c r="C334" s="357"/>
      <c r="D334" s="225" t="s">
        <v>41</v>
      </c>
      <c r="E334" s="358" t="s">
        <v>168</v>
      </c>
      <c r="F334" s="358">
        <v>5</v>
      </c>
      <c r="G334" s="358" t="s">
        <v>32</v>
      </c>
      <c r="H334" s="358">
        <v>10</v>
      </c>
      <c r="I334" s="234"/>
      <c r="J334" s="358"/>
      <c r="K334" s="358"/>
      <c r="L334" s="358"/>
      <c r="M334" s="358"/>
      <c r="N334" s="358"/>
      <c r="O334" s="358"/>
      <c r="P334" s="358"/>
      <c r="Q334" s="358"/>
      <c r="R334" s="358"/>
      <c r="S334" s="358"/>
      <c r="T334" s="358"/>
      <c r="U334" s="358"/>
      <c r="V334" s="358"/>
      <c r="W334" s="358"/>
      <c r="X334" s="358"/>
      <c r="Y334" s="232">
        <v>0</v>
      </c>
      <c r="Z334" s="228" t="s">
        <v>603</v>
      </c>
      <c r="AE334" s="184"/>
      <c r="AF334" s="184"/>
    </row>
    <row r="335" spans="1:32" s="1" customFormat="1" ht="20.25" customHeight="1" x14ac:dyDescent="0.25">
      <c r="A335" s="398"/>
      <c r="B335" s="396"/>
      <c r="C335" s="357"/>
      <c r="D335" s="225" t="s">
        <v>44</v>
      </c>
      <c r="E335" s="361" t="s">
        <v>169</v>
      </c>
      <c r="F335" s="358">
        <v>5</v>
      </c>
      <c r="G335" s="358" t="s">
        <v>32</v>
      </c>
      <c r="H335" s="358">
        <v>9</v>
      </c>
      <c r="I335" s="234"/>
      <c r="J335" s="358"/>
      <c r="K335" s="358"/>
      <c r="L335" s="358"/>
      <c r="M335" s="358"/>
      <c r="N335" s="358"/>
      <c r="O335" s="358"/>
      <c r="P335" s="358"/>
      <c r="Q335" s="358"/>
      <c r="R335" s="358"/>
      <c r="S335" s="358"/>
      <c r="T335" s="358"/>
      <c r="U335" s="358"/>
      <c r="V335" s="358"/>
      <c r="W335" s="358"/>
      <c r="X335" s="358"/>
      <c r="Y335" s="232">
        <v>0</v>
      </c>
      <c r="Z335" s="228" t="s">
        <v>603</v>
      </c>
      <c r="AE335" s="184"/>
      <c r="AF335" s="184"/>
    </row>
    <row r="336" spans="1:32" s="1" customFormat="1" ht="20.25" customHeight="1" x14ac:dyDescent="0.3">
      <c r="A336" s="398"/>
      <c r="B336" s="396"/>
      <c r="C336" s="357"/>
      <c r="D336" s="358" t="s">
        <v>43</v>
      </c>
      <c r="E336" s="358" t="s">
        <v>89</v>
      </c>
      <c r="F336" s="358">
        <v>5</v>
      </c>
      <c r="G336" s="358" t="s">
        <v>32</v>
      </c>
      <c r="H336" s="358">
        <v>9</v>
      </c>
      <c r="I336" s="361"/>
      <c r="J336" s="358">
        <v>15</v>
      </c>
      <c r="K336" s="358"/>
      <c r="L336" s="358"/>
      <c r="M336" s="358"/>
      <c r="N336" s="230"/>
      <c r="O336" s="230">
        <v>3</v>
      </c>
      <c r="P336" s="230"/>
      <c r="Q336" s="230"/>
      <c r="R336" s="230"/>
      <c r="S336" s="230"/>
      <c r="T336" s="231"/>
      <c r="U336" s="358"/>
      <c r="V336" s="358"/>
      <c r="W336" s="358"/>
      <c r="X336" s="358"/>
      <c r="Y336" s="232">
        <v>0.6</v>
      </c>
      <c r="Z336" s="228" t="s">
        <v>603</v>
      </c>
      <c r="AE336" s="184"/>
      <c r="AF336" s="184"/>
    </row>
    <row r="337" spans="1:32" s="1" customFormat="1" ht="20.25" customHeight="1" x14ac:dyDescent="0.3">
      <c r="A337" s="398"/>
      <c r="B337" s="396"/>
      <c r="C337" s="357"/>
      <c r="D337" s="358" t="s">
        <v>49</v>
      </c>
      <c r="E337" s="358" t="s">
        <v>92</v>
      </c>
      <c r="F337" s="358">
        <v>5</v>
      </c>
      <c r="G337" s="358" t="s">
        <v>32</v>
      </c>
      <c r="H337" s="358">
        <v>5</v>
      </c>
      <c r="I337" s="361"/>
      <c r="J337" s="358"/>
      <c r="K337" s="358"/>
      <c r="L337" s="358"/>
      <c r="M337" s="358"/>
      <c r="N337" s="230"/>
      <c r="O337" s="230"/>
      <c r="P337" s="230"/>
      <c r="Q337" s="230"/>
      <c r="R337" s="230"/>
      <c r="S337" s="230"/>
      <c r="T337" s="231"/>
      <c r="U337" s="358"/>
      <c r="V337" s="358"/>
      <c r="W337" s="358"/>
      <c r="X337" s="358"/>
      <c r="Y337" s="232">
        <v>0</v>
      </c>
      <c r="Z337" s="228" t="s">
        <v>603</v>
      </c>
      <c r="AE337" s="184"/>
      <c r="AF337" s="184"/>
    </row>
    <row r="338" spans="1:32" s="1" customFormat="1" ht="20.25" customHeight="1" x14ac:dyDescent="0.3">
      <c r="A338" s="398"/>
      <c r="B338" s="396"/>
      <c r="C338" s="357"/>
      <c r="D338" s="358" t="s">
        <v>45</v>
      </c>
      <c r="E338" s="358" t="s">
        <v>112</v>
      </c>
      <c r="F338" s="358">
        <v>5</v>
      </c>
      <c r="G338" s="358" t="s">
        <v>32</v>
      </c>
      <c r="H338" s="358">
        <v>12</v>
      </c>
      <c r="I338" s="361"/>
      <c r="J338" s="358"/>
      <c r="K338" s="358"/>
      <c r="L338" s="358"/>
      <c r="M338" s="358"/>
      <c r="N338" s="230"/>
      <c r="O338" s="230"/>
      <c r="P338" s="230"/>
      <c r="Q338" s="230"/>
      <c r="R338" s="230"/>
      <c r="S338" s="230"/>
      <c r="T338" s="231"/>
      <c r="U338" s="358"/>
      <c r="V338" s="358"/>
      <c r="W338" s="358"/>
      <c r="X338" s="358"/>
      <c r="Y338" s="232">
        <v>0</v>
      </c>
      <c r="Z338" s="228" t="s">
        <v>603</v>
      </c>
      <c r="AE338" s="184"/>
      <c r="AF338" s="184"/>
    </row>
    <row r="339" spans="1:32" s="1" customFormat="1" ht="20.25" customHeight="1" x14ac:dyDescent="0.25">
      <c r="A339" s="398"/>
      <c r="B339" s="396"/>
      <c r="C339" s="357"/>
      <c r="D339" s="361" t="s">
        <v>81</v>
      </c>
      <c r="E339" s="361" t="s">
        <v>283</v>
      </c>
      <c r="F339" s="358">
        <v>5</v>
      </c>
      <c r="G339" s="361" t="s">
        <v>32</v>
      </c>
      <c r="H339" s="358">
        <v>23</v>
      </c>
      <c r="I339" s="361"/>
      <c r="J339" s="358">
        <v>15</v>
      </c>
      <c r="K339" s="358"/>
      <c r="L339" s="358"/>
      <c r="M339" s="358"/>
      <c r="N339" s="358"/>
      <c r="O339" s="358">
        <v>3</v>
      </c>
      <c r="P339" s="358"/>
      <c r="Q339" s="358"/>
      <c r="R339" s="358"/>
      <c r="S339" s="358"/>
      <c r="T339" s="358"/>
      <c r="U339" s="358"/>
      <c r="V339" s="358"/>
      <c r="W339" s="358"/>
      <c r="X339" s="358"/>
      <c r="Y339" s="232">
        <v>0.6</v>
      </c>
      <c r="Z339" s="228" t="s">
        <v>603</v>
      </c>
      <c r="AE339" s="184"/>
      <c r="AF339" s="184"/>
    </row>
    <row r="340" spans="1:32" s="1" customFormat="1" ht="20.25" customHeight="1" x14ac:dyDescent="0.3">
      <c r="A340" s="398"/>
      <c r="B340" s="396"/>
      <c r="C340" s="357"/>
      <c r="D340" s="358" t="s">
        <v>60</v>
      </c>
      <c r="E340" s="358" t="s">
        <v>99</v>
      </c>
      <c r="F340" s="358">
        <v>5</v>
      </c>
      <c r="G340" s="361" t="s">
        <v>32</v>
      </c>
      <c r="H340" s="361">
        <v>15</v>
      </c>
      <c r="I340" s="361"/>
      <c r="J340" s="358">
        <v>15</v>
      </c>
      <c r="K340" s="358"/>
      <c r="L340" s="358"/>
      <c r="M340" s="358"/>
      <c r="N340" s="230"/>
      <c r="O340" s="230">
        <v>3</v>
      </c>
      <c r="P340" s="230"/>
      <c r="Q340" s="230"/>
      <c r="R340" s="230"/>
      <c r="S340" s="230"/>
      <c r="T340" s="231"/>
      <c r="U340" s="358"/>
      <c r="V340" s="358"/>
      <c r="W340" s="358"/>
      <c r="X340" s="358"/>
      <c r="Y340" s="232">
        <v>0.6</v>
      </c>
      <c r="Z340" s="228" t="s">
        <v>603</v>
      </c>
      <c r="AE340" s="184"/>
      <c r="AF340" s="184"/>
    </row>
    <row r="341" spans="1:32" s="1" customFormat="1" ht="20.25" customHeight="1" x14ac:dyDescent="0.3">
      <c r="A341" s="398"/>
      <c r="B341" s="396"/>
      <c r="C341" s="357"/>
      <c r="D341" s="225" t="s">
        <v>114</v>
      </c>
      <c r="E341" s="358" t="s">
        <v>150</v>
      </c>
      <c r="F341" s="358">
        <v>5</v>
      </c>
      <c r="G341" s="361" t="s">
        <v>32</v>
      </c>
      <c r="H341" s="358">
        <v>10</v>
      </c>
      <c r="I341" s="361"/>
      <c r="J341" s="358"/>
      <c r="K341" s="358"/>
      <c r="L341" s="358"/>
      <c r="M341" s="358"/>
      <c r="N341" s="230"/>
      <c r="O341" s="358"/>
      <c r="P341" s="230"/>
      <c r="Q341" s="230"/>
      <c r="R341" s="230"/>
      <c r="S341" s="230"/>
      <c r="T341" s="231"/>
      <c r="U341" s="358"/>
      <c r="V341" s="358"/>
      <c r="W341" s="358"/>
      <c r="X341" s="358"/>
      <c r="Y341" s="232">
        <v>0</v>
      </c>
      <c r="Z341" s="228" t="s">
        <v>603</v>
      </c>
      <c r="AE341" s="184"/>
      <c r="AF341" s="184"/>
    </row>
    <row r="342" spans="1:32" s="1" customFormat="1" ht="20.25" customHeight="1" thickBot="1" x14ac:dyDescent="0.35">
      <c r="A342" s="398"/>
      <c r="B342" s="399"/>
      <c r="C342" s="357"/>
      <c r="D342" s="225" t="s">
        <v>46</v>
      </c>
      <c r="E342" s="361" t="s">
        <v>85</v>
      </c>
      <c r="F342" s="358">
        <v>5</v>
      </c>
      <c r="G342" s="361" t="s">
        <v>32</v>
      </c>
      <c r="H342" s="361">
        <v>5</v>
      </c>
      <c r="I342" s="361"/>
      <c r="J342" s="358"/>
      <c r="K342" s="358"/>
      <c r="L342" s="358"/>
      <c r="M342" s="358"/>
      <c r="N342" s="230"/>
      <c r="O342" s="358"/>
      <c r="P342" s="230"/>
      <c r="Q342" s="230"/>
      <c r="R342" s="230"/>
      <c r="S342" s="230"/>
      <c r="T342" s="231"/>
      <c r="U342" s="358"/>
      <c r="V342" s="358"/>
      <c r="W342" s="358"/>
      <c r="X342" s="358"/>
      <c r="Y342" s="232">
        <v>0</v>
      </c>
      <c r="Z342" s="228" t="s">
        <v>603</v>
      </c>
      <c r="AE342" s="184"/>
      <c r="AF342" s="184"/>
    </row>
    <row r="343" spans="1:32" s="1" customFormat="1" ht="20.25" customHeight="1" x14ac:dyDescent="0.25">
      <c r="A343" s="392" t="s">
        <v>160</v>
      </c>
      <c r="B343" s="393"/>
      <c r="C343" s="393"/>
      <c r="D343" s="393"/>
      <c r="E343" s="393"/>
      <c r="F343" s="393"/>
      <c r="G343" s="393"/>
      <c r="H343" s="393"/>
      <c r="I343" s="199">
        <f>SUM(I20:I342)</f>
        <v>435</v>
      </c>
      <c r="J343" s="199">
        <f>SUM(J20:J342)</f>
        <v>6844</v>
      </c>
      <c r="K343" s="199">
        <f>SUM(K20:K342)</f>
        <v>0</v>
      </c>
      <c r="L343" s="199">
        <f>SUM(L20:L342)</f>
        <v>0</v>
      </c>
      <c r="M343" s="199">
        <f>SUM(M20:M342)</f>
        <v>275</v>
      </c>
      <c r="N343" s="199">
        <f>SUM(N20:N342)</f>
        <v>0</v>
      </c>
      <c r="O343" s="199">
        <f>SUM(O20:O342)</f>
        <v>554</v>
      </c>
      <c r="P343" s="199">
        <f>SUM(P20:P342)</f>
        <v>0</v>
      </c>
      <c r="Q343" s="199">
        <f>SUM(Q20:Q342)</f>
        <v>0</v>
      </c>
      <c r="R343" s="199">
        <f>SUM(R20:R342)</f>
        <v>0</v>
      </c>
      <c r="S343" s="199">
        <f>SUM(S20:S342)</f>
        <v>0</v>
      </c>
      <c r="T343" s="199">
        <f>SUM(T20:T342)</f>
        <v>0</v>
      </c>
      <c r="U343" s="199">
        <f>SUM(U20:U342)</f>
        <v>0</v>
      </c>
      <c r="V343" s="199">
        <f>SUM(V20:V342)</f>
        <v>0</v>
      </c>
      <c r="W343" s="199">
        <f>SUM(W20:W342)</f>
        <v>0</v>
      </c>
      <c r="X343" s="199">
        <f>SUM(X20:X342)</f>
        <v>0</v>
      </c>
      <c r="Y343" s="200">
        <f>SUM(Y20:Y342)</f>
        <v>264.4099999999998</v>
      </c>
      <c r="Z343" s="184"/>
      <c r="AE343" s="184"/>
      <c r="AF343" s="184"/>
    </row>
    <row r="344" spans="1:32" s="1" customFormat="1" ht="27" customHeight="1" x14ac:dyDescent="0.25">
      <c r="A344" s="400"/>
      <c r="B344" s="401" t="s">
        <v>364</v>
      </c>
      <c r="C344" s="336"/>
      <c r="D344" s="93" t="s">
        <v>289</v>
      </c>
      <c r="E344" s="93" t="s">
        <v>358</v>
      </c>
      <c r="F344" s="197">
        <v>2</v>
      </c>
      <c r="G344" s="197" t="s">
        <v>35</v>
      </c>
      <c r="H344" s="197">
        <v>2</v>
      </c>
      <c r="I344" s="206">
        <v>7</v>
      </c>
      <c r="J344" s="206">
        <v>15</v>
      </c>
      <c r="K344" s="206"/>
      <c r="L344" s="206"/>
      <c r="M344" s="206">
        <v>4</v>
      </c>
      <c r="N344" s="206"/>
      <c r="O344" s="206">
        <v>3</v>
      </c>
      <c r="P344" s="206"/>
      <c r="Q344" s="206"/>
      <c r="R344" s="206"/>
      <c r="S344" s="206"/>
      <c r="T344" s="206"/>
      <c r="U344" s="206"/>
      <c r="V344" s="206"/>
      <c r="W344" s="206"/>
      <c r="X344" s="206"/>
      <c r="Y344" s="206">
        <v>0.9</v>
      </c>
      <c r="Z344" s="184" t="s">
        <v>616</v>
      </c>
      <c r="AE344" s="184"/>
      <c r="AF344" s="184"/>
    </row>
    <row r="345" spans="1:32" s="1" customFormat="1" ht="27" customHeight="1" x14ac:dyDescent="0.25">
      <c r="A345" s="400"/>
      <c r="B345" s="401"/>
      <c r="C345" s="336"/>
      <c r="D345" s="93" t="s">
        <v>116</v>
      </c>
      <c r="E345" s="93" t="s">
        <v>356</v>
      </c>
      <c r="F345" s="197">
        <v>2</v>
      </c>
      <c r="G345" s="197" t="s">
        <v>35</v>
      </c>
      <c r="H345" s="197">
        <v>4</v>
      </c>
      <c r="I345" s="206"/>
      <c r="J345" s="206"/>
      <c r="K345" s="206"/>
      <c r="L345" s="206"/>
      <c r="M345" s="206"/>
      <c r="N345" s="206"/>
      <c r="O345" s="206"/>
      <c r="P345" s="206"/>
      <c r="Q345" s="206"/>
      <c r="R345" s="206"/>
      <c r="S345" s="206"/>
      <c r="T345" s="206"/>
      <c r="U345" s="206"/>
      <c r="V345" s="206"/>
      <c r="W345" s="206"/>
      <c r="X345" s="206"/>
      <c r="Y345" s="206"/>
      <c r="Z345" s="184" t="s">
        <v>616</v>
      </c>
      <c r="AE345" s="184"/>
      <c r="AF345" s="184"/>
    </row>
    <row r="346" spans="1:32" s="1" customFormat="1" ht="27" customHeight="1" x14ac:dyDescent="0.25">
      <c r="A346" s="400"/>
      <c r="B346" s="401"/>
      <c r="C346" s="336"/>
      <c r="D346" s="93" t="s">
        <v>199</v>
      </c>
      <c r="E346" s="93" t="s">
        <v>368</v>
      </c>
      <c r="F346" s="197">
        <v>2</v>
      </c>
      <c r="G346" s="197" t="s">
        <v>35</v>
      </c>
      <c r="H346" s="197">
        <v>1</v>
      </c>
      <c r="I346" s="206"/>
      <c r="J346" s="206"/>
      <c r="K346" s="206"/>
      <c r="L346" s="206"/>
      <c r="M346" s="206"/>
      <c r="N346" s="206"/>
      <c r="O346" s="206"/>
      <c r="P346" s="206"/>
      <c r="Q346" s="206"/>
      <c r="R346" s="206"/>
      <c r="S346" s="206"/>
      <c r="T346" s="206"/>
      <c r="U346" s="206"/>
      <c r="V346" s="206"/>
      <c r="W346" s="206"/>
      <c r="X346" s="206"/>
      <c r="Y346" s="206"/>
      <c r="Z346" s="184" t="s">
        <v>616</v>
      </c>
      <c r="AE346" s="184"/>
      <c r="AF346" s="184"/>
    </row>
    <row r="347" spans="1:32" s="1" customFormat="1" ht="27" customHeight="1" x14ac:dyDescent="0.25">
      <c r="A347" s="400"/>
      <c r="B347" s="401"/>
      <c r="C347" s="336"/>
      <c r="D347" s="93" t="s">
        <v>374</v>
      </c>
      <c r="E347" s="93" t="s">
        <v>376</v>
      </c>
      <c r="F347" s="197">
        <v>2</v>
      </c>
      <c r="G347" s="197" t="s">
        <v>35</v>
      </c>
      <c r="H347" s="197">
        <v>2</v>
      </c>
      <c r="I347" s="206"/>
      <c r="J347" s="206"/>
      <c r="K347" s="206"/>
      <c r="L347" s="206"/>
      <c r="M347" s="206"/>
      <c r="N347" s="206"/>
      <c r="O347" s="206"/>
      <c r="P347" s="206"/>
      <c r="Q347" s="206"/>
      <c r="R347" s="206"/>
      <c r="S347" s="206"/>
      <c r="T347" s="206"/>
      <c r="U347" s="206"/>
      <c r="V347" s="206"/>
      <c r="W347" s="206"/>
      <c r="X347" s="206"/>
      <c r="Y347" s="206"/>
      <c r="Z347" s="184" t="s">
        <v>616</v>
      </c>
      <c r="AE347" s="184"/>
      <c r="AF347" s="184"/>
    </row>
    <row r="348" spans="1:32" s="1" customFormat="1" ht="27" customHeight="1" x14ac:dyDescent="0.25">
      <c r="A348" s="400"/>
      <c r="B348" s="401"/>
      <c r="C348" s="336"/>
      <c r="D348" s="93" t="s">
        <v>289</v>
      </c>
      <c r="E348" s="93" t="s">
        <v>359</v>
      </c>
      <c r="F348" s="197">
        <v>2</v>
      </c>
      <c r="G348" s="197" t="s">
        <v>32</v>
      </c>
      <c r="H348" s="197">
        <v>3</v>
      </c>
      <c r="I348" s="206">
        <v>7</v>
      </c>
      <c r="J348" s="206">
        <v>15</v>
      </c>
      <c r="K348" s="206"/>
      <c r="L348" s="206"/>
      <c r="M348" s="206">
        <v>4</v>
      </c>
      <c r="N348" s="206"/>
      <c r="O348" s="206">
        <v>3</v>
      </c>
      <c r="P348" s="206"/>
      <c r="Q348" s="206"/>
      <c r="R348" s="206"/>
      <c r="S348" s="206"/>
      <c r="T348" s="206"/>
      <c r="U348" s="206"/>
      <c r="V348" s="206"/>
      <c r="W348" s="206"/>
      <c r="X348" s="206"/>
      <c r="Y348" s="206">
        <v>0.9</v>
      </c>
      <c r="Z348" s="184" t="s">
        <v>617</v>
      </c>
      <c r="AE348" s="184"/>
      <c r="AF348" s="184"/>
    </row>
    <row r="349" spans="1:32" s="1" customFormat="1" ht="27" customHeight="1" x14ac:dyDescent="0.25">
      <c r="A349" s="400"/>
      <c r="B349" s="401"/>
      <c r="C349" s="336"/>
      <c r="D349" s="93" t="s">
        <v>116</v>
      </c>
      <c r="E349" s="93" t="s">
        <v>357</v>
      </c>
      <c r="F349" s="197">
        <v>2</v>
      </c>
      <c r="G349" s="197" t="s">
        <v>32</v>
      </c>
      <c r="H349" s="197">
        <v>3</v>
      </c>
      <c r="I349" s="206"/>
      <c r="J349" s="206"/>
      <c r="K349" s="206"/>
      <c r="L349" s="206"/>
      <c r="M349" s="206"/>
      <c r="N349" s="206"/>
      <c r="O349" s="206"/>
      <c r="P349" s="206"/>
      <c r="Q349" s="206"/>
      <c r="R349" s="206"/>
      <c r="S349" s="206"/>
      <c r="T349" s="206"/>
      <c r="U349" s="206"/>
      <c r="V349" s="206"/>
      <c r="W349" s="206"/>
      <c r="X349" s="206"/>
      <c r="Y349" s="206"/>
      <c r="Z349" s="184" t="s">
        <v>617</v>
      </c>
      <c r="AE349" s="184"/>
      <c r="AF349" s="184"/>
    </row>
    <row r="350" spans="1:32" s="1" customFormat="1" ht="27" customHeight="1" x14ac:dyDescent="0.25">
      <c r="A350" s="400"/>
      <c r="B350" s="401"/>
      <c r="C350" s="336"/>
      <c r="D350" s="93" t="s">
        <v>199</v>
      </c>
      <c r="E350" s="93" t="s">
        <v>369</v>
      </c>
      <c r="F350" s="197">
        <v>2</v>
      </c>
      <c r="G350" s="197" t="s">
        <v>32</v>
      </c>
      <c r="H350" s="206">
        <v>1</v>
      </c>
      <c r="I350" s="206"/>
      <c r="J350" s="206"/>
      <c r="K350" s="206"/>
      <c r="L350" s="206"/>
      <c r="M350" s="206"/>
      <c r="N350" s="206"/>
      <c r="O350" s="206"/>
      <c r="P350" s="206"/>
      <c r="Q350" s="206"/>
      <c r="R350" s="206"/>
      <c r="S350" s="206"/>
      <c r="T350" s="206"/>
      <c r="U350" s="206"/>
      <c r="V350" s="206"/>
      <c r="W350" s="206"/>
      <c r="X350" s="206"/>
      <c r="Y350" s="206"/>
      <c r="Z350" s="184" t="s">
        <v>617</v>
      </c>
      <c r="AE350" s="184"/>
      <c r="AF350" s="184"/>
    </row>
    <row r="351" spans="1:32" s="1" customFormat="1" ht="27" customHeight="1" thickBot="1" x14ac:dyDescent="0.3">
      <c r="A351" s="400"/>
      <c r="B351" s="401"/>
      <c r="C351" s="336"/>
      <c r="D351" s="93" t="s">
        <v>374</v>
      </c>
      <c r="E351" s="93" t="s">
        <v>375</v>
      </c>
      <c r="F351" s="197">
        <v>2</v>
      </c>
      <c r="G351" s="197" t="s">
        <v>32</v>
      </c>
      <c r="H351" s="206">
        <v>1</v>
      </c>
      <c r="I351" s="206"/>
      <c r="J351" s="206"/>
      <c r="K351" s="206"/>
      <c r="L351" s="206"/>
      <c r="M351" s="206"/>
      <c r="N351" s="206"/>
      <c r="O351" s="206"/>
      <c r="P351" s="206"/>
      <c r="Q351" s="206"/>
      <c r="R351" s="206"/>
      <c r="S351" s="206"/>
      <c r="T351" s="206"/>
      <c r="U351" s="206"/>
      <c r="V351" s="206"/>
      <c r="W351" s="206"/>
      <c r="X351" s="206"/>
      <c r="Y351" s="206"/>
      <c r="Z351" s="184" t="s">
        <v>617</v>
      </c>
      <c r="AE351" s="184"/>
      <c r="AF351" s="184"/>
    </row>
    <row r="352" spans="1:32" s="1" customFormat="1" ht="20.25" customHeight="1" thickBot="1" x14ac:dyDescent="0.3">
      <c r="A352" s="392" t="s">
        <v>377</v>
      </c>
      <c r="B352" s="393"/>
      <c r="C352" s="393"/>
      <c r="D352" s="393"/>
      <c r="E352" s="393"/>
      <c r="F352" s="393"/>
      <c r="G352" s="393"/>
      <c r="H352" s="393"/>
      <c r="I352" s="207">
        <f>SUM(I344:I351)</f>
        <v>14</v>
      </c>
      <c r="J352" s="207">
        <f t="shared" ref="J352:Y352" si="0">SUM(J344:J351)</f>
        <v>30</v>
      </c>
      <c r="K352" s="207">
        <f t="shared" si="0"/>
        <v>0</v>
      </c>
      <c r="L352" s="207">
        <f t="shared" si="0"/>
        <v>0</v>
      </c>
      <c r="M352" s="207">
        <f t="shared" si="0"/>
        <v>8</v>
      </c>
      <c r="N352" s="207">
        <f t="shared" si="0"/>
        <v>0</v>
      </c>
      <c r="O352" s="207">
        <f t="shared" si="0"/>
        <v>6</v>
      </c>
      <c r="P352" s="207">
        <f t="shared" si="0"/>
        <v>0</v>
      </c>
      <c r="Q352" s="207">
        <f t="shared" si="0"/>
        <v>0</v>
      </c>
      <c r="R352" s="207">
        <f t="shared" si="0"/>
        <v>0</v>
      </c>
      <c r="S352" s="207">
        <f t="shared" si="0"/>
        <v>0</v>
      </c>
      <c r="T352" s="207">
        <f t="shared" si="0"/>
        <v>0</v>
      </c>
      <c r="U352" s="207">
        <f t="shared" si="0"/>
        <v>0</v>
      </c>
      <c r="V352" s="207">
        <f t="shared" si="0"/>
        <v>0</v>
      </c>
      <c r="W352" s="207">
        <f t="shared" si="0"/>
        <v>0</v>
      </c>
      <c r="X352" s="207">
        <f t="shared" si="0"/>
        <v>0</v>
      </c>
      <c r="Y352" s="207">
        <f t="shared" si="0"/>
        <v>1.8</v>
      </c>
      <c r="Z352" s="184"/>
      <c r="AE352" s="184"/>
      <c r="AF352" s="184"/>
    </row>
    <row r="353" spans="1:32" s="1" customFormat="1" ht="20.25" customHeight="1" thickBot="1" x14ac:dyDescent="0.3">
      <c r="A353" s="392" t="s">
        <v>378</v>
      </c>
      <c r="B353" s="393"/>
      <c r="C353" s="393"/>
      <c r="D353" s="393"/>
      <c r="E353" s="393"/>
      <c r="F353" s="393"/>
      <c r="G353" s="393"/>
      <c r="H353" s="393"/>
      <c r="I353" s="207">
        <f>I352+I343</f>
        <v>449</v>
      </c>
      <c r="J353" s="207">
        <f t="shared" ref="J353:Y353" si="1">J352+J343</f>
        <v>6874</v>
      </c>
      <c r="K353" s="207">
        <f t="shared" si="1"/>
        <v>0</v>
      </c>
      <c r="L353" s="207">
        <f t="shared" si="1"/>
        <v>0</v>
      </c>
      <c r="M353" s="207">
        <f t="shared" si="1"/>
        <v>283</v>
      </c>
      <c r="N353" s="207">
        <f t="shared" si="1"/>
        <v>0</v>
      </c>
      <c r="O353" s="207">
        <f t="shared" si="1"/>
        <v>560</v>
      </c>
      <c r="P353" s="207">
        <f t="shared" si="1"/>
        <v>0</v>
      </c>
      <c r="Q353" s="207">
        <f t="shared" si="1"/>
        <v>0</v>
      </c>
      <c r="R353" s="207">
        <f t="shared" si="1"/>
        <v>0</v>
      </c>
      <c r="S353" s="207">
        <f t="shared" si="1"/>
        <v>0</v>
      </c>
      <c r="T353" s="207">
        <f t="shared" si="1"/>
        <v>0</v>
      </c>
      <c r="U353" s="207">
        <f t="shared" si="1"/>
        <v>0</v>
      </c>
      <c r="V353" s="207">
        <f t="shared" si="1"/>
        <v>0</v>
      </c>
      <c r="W353" s="207">
        <f t="shared" si="1"/>
        <v>0</v>
      </c>
      <c r="X353" s="207">
        <f t="shared" si="1"/>
        <v>0</v>
      </c>
      <c r="Y353" s="207">
        <f t="shared" si="1"/>
        <v>266.20999999999981</v>
      </c>
      <c r="Z353" s="184"/>
      <c r="AE353" s="184"/>
      <c r="AF353" s="184"/>
    </row>
    <row r="354" spans="1:32" s="1" customFormat="1" x14ac:dyDescent="0.3">
      <c r="A354" s="23"/>
      <c r="B354" s="29"/>
      <c r="C354" s="29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184"/>
      <c r="AE354" s="184"/>
      <c r="AF354" s="184"/>
    </row>
    <row r="355" spans="1:32" s="1" customFormat="1" x14ac:dyDescent="0.3">
      <c r="A355" s="23"/>
      <c r="B355" s="26" t="s">
        <v>214</v>
      </c>
      <c r="C355" s="26"/>
      <c r="D355" s="6"/>
      <c r="E355" s="6"/>
      <c r="F355" s="204"/>
      <c r="G355" s="202"/>
      <c r="H355" s="202"/>
      <c r="I355" s="202"/>
      <c r="J355" s="204" t="s">
        <v>40</v>
      </c>
      <c r="K355" s="26"/>
      <c r="L355" s="204" t="s">
        <v>161</v>
      </c>
      <c r="M355" s="26"/>
      <c r="N355" s="26"/>
      <c r="O355" s="27"/>
      <c r="P355" s="26"/>
      <c r="Q355" s="27"/>
      <c r="R355" s="26"/>
      <c r="S355" s="26"/>
      <c r="T355" s="26"/>
      <c r="U355" s="6"/>
      <c r="V355" s="6"/>
      <c r="W355" s="6"/>
      <c r="X355" s="6"/>
      <c r="Y355" s="28"/>
      <c r="Z355" s="184"/>
      <c r="AE355" s="184"/>
      <c r="AF355" s="184"/>
    </row>
    <row r="356" spans="1:32" s="1" customFormat="1" x14ac:dyDescent="0.3">
      <c r="A356" s="23"/>
      <c r="B356" s="394" t="s">
        <v>207</v>
      </c>
      <c r="C356" s="394"/>
      <c r="D356" s="394"/>
      <c r="E356" s="394"/>
      <c r="F356" s="6"/>
      <c r="G356" s="202"/>
      <c r="H356" s="202"/>
      <c r="I356" s="202"/>
      <c r="J356" s="208"/>
      <c r="K356" s="26"/>
      <c r="L356" s="26" t="s">
        <v>208</v>
      </c>
      <c r="M356" s="26"/>
      <c r="N356" s="26"/>
      <c r="O356" s="6"/>
      <c r="P356" s="6"/>
      <c r="Q356" s="23"/>
      <c r="R356" s="6"/>
      <c r="S356" s="208"/>
      <c r="T356" s="208"/>
      <c r="U356" s="6"/>
      <c r="V356" s="208"/>
      <c r="W356" s="208"/>
      <c r="X356" s="6"/>
      <c r="Y356" s="28"/>
      <c r="Z356" s="184"/>
      <c r="AE356" s="184"/>
      <c r="AF356" s="184"/>
    </row>
    <row r="357" spans="1:32" s="1" customFormat="1" x14ac:dyDescent="0.3">
      <c r="A357" s="23"/>
      <c r="B357" s="29"/>
      <c r="C357" s="29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184"/>
      <c r="AE357" s="184"/>
      <c r="AF357" s="184"/>
    </row>
    <row r="358" spans="1:32" s="1" customFormat="1" x14ac:dyDescent="0.3">
      <c r="A358" s="23"/>
      <c r="B358" s="29"/>
      <c r="C358" s="29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184"/>
      <c r="AE358" s="184"/>
      <c r="AF358" s="184"/>
    </row>
    <row r="359" spans="1:32" s="1" customFormat="1" x14ac:dyDescent="0.3">
      <c r="A359" s="23"/>
      <c r="B359" s="29"/>
      <c r="C359" s="29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184"/>
      <c r="AE359" s="184"/>
      <c r="AF359" s="184"/>
    </row>
    <row r="360" spans="1:32" s="1" customFormat="1" x14ac:dyDescent="0.3">
      <c r="A360" s="23"/>
      <c r="B360" s="29"/>
      <c r="C360" s="29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184"/>
      <c r="AE360" s="184"/>
      <c r="AF360" s="184"/>
    </row>
    <row r="361" spans="1:32" s="1" customFormat="1" x14ac:dyDescent="0.3">
      <c r="A361" s="23"/>
      <c r="B361" s="29"/>
      <c r="C361" s="29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184"/>
      <c r="AE361" s="184"/>
      <c r="AF361" s="184"/>
    </row>
    <row r="362" spans="1:32" s="1" customFormat="1" x14ac:dyDescent="0.3">
      <c r="A362" s="23"/>
      <c r="B362" s="29"/>
      <c r="C362" s="29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184"/>
      <c r="AE362" s="184"/>
      <c r="AF362" s="184"/>
    </row>
    <row r="363" spans="1:32" s="1" customFormat="1" x14ac:dyDescent="0.3">
      <c r="A363" s="23"/>
      <c r="B363" s="29"/>
      <c r="C363" s="29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184"/>
      <c r="AE363" s="184"/>
      <c r="AF363" s="184"/>
    </row>
    <row r="364" spans="1:32" s="1" customFormat="1" x14ac:dyDescent="0.3">
      <c r="A364" s="23"/>
      <c r="B364" s="29"/>
      <c r="C364" s="29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184"/>
      <c r="AE364" s="184"/>
      <c r="AF364" s="184"/>
    </row>
    <row r="365" spans="1:32" s="1" customFormat="1" x14ac:dyDescent="0.3">
      <c r="A365" s="23"/>
      <c r="B365" s="29"/>
      <c r="C365" s="29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184"/>
      <c r="AE365" s="184"/>
      <c r="AF365" s="184"/>
    </row>
    <row r="366" spans="1:32" s="1" customFormat="1" x14ac:dyDescent="0.3">
      <c r="A366" s="23"/>
      <c r="B366" s="29"/>
      <c r="C366" s="29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184"/>
      <c r="AE366" s="184"/>
      <c r="AF366" s="184"/>
    </row>
    <row r="367" spans="1:32" s="1" customFormat="1" x14ac:dyDescent="0.3">
      <c r="A367" s="23"/>
      <c r="B367" s="29"/>
      <c r="C367" s="29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184"/>
      <c r="AE367" s="184"/>
      <c r="AF367" s="184"/>
    </row>
    <row r="368" spans="1:32" s="1" customFormat="1" x14ac:dyDescent="0.3">
      <c r="A368" s="23"/>
      <c r="B368" s="29"/>
      <c r="C368" s="29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184"/>
      <c r="AE368" s="184"/>
      <c r="AF368" s="184"/>
    </row>
    <row r="369" spans="1:32" s="1" customFormat="1" x14ac:dyDescent="0.3">
      <c r="A369" s="23"/>
      <c r="B369" s="29"/>
      <c r="C369" s="29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184"/>
      <c r="AE369" s="184"/>
      <c r="AF369" s="184"/>
    </row>
    <row r="370" spans="1:32" s="1" customFormat="1" x14ac:dyDescent="0.3">
      <c r="A370" s="23"/>
      <c r="B370" s="29"/>
      <c r="C370" s="29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184"/>
      <c r="AE370" s="184"/>
      <c r="AF370" s="184"/>
    </row>
    <row r="371" spans="1:32" s="1" customFormat="1" x14ac:dyDescent="0.3">
      <c r="A371" s="23"/>
      <c r="B371" s="29"/>
      <c r="C371" s="29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184"/>
      <c r="AE371" s="184"/>
      <c r="AF371" s="184"/>
    </row>
    <row r="372" spans="1:32" s="1" customFormat="1" x14ac:dyDescent="0.3">
      <c r="A372" s="23"/>
      <c r="B372" s="29"/>
      <c r="C372" s="29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184"/>
      <c r="AE372" s="184"/>
      <c r="AF372" s="184"/>
    </row>
    <row r="373" spans="1:32" s="1" customFormat="1" x14ac:dyDescent="0.3">
      <c r="A373" s="23"/>
      <c r="B373" s="29"/>
      <c r="C373" s="29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184"/>
      <c r="AE373" s="184"/>
      <c r="AF373" s="184"/>
    </row>
    <row r="374" spans="1:32" s="1" customFormat="1" x14ac:dyDescent="0.3">
      <c r="A374" s="23"/>
      <c r="B374" s="29"/>
      <c r="C374" s="29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184"/>
      <c r="AE374" s="184"/>
      <c r="AF374" s="184"/>
    </row>
    <row r="375" spans="1:32" s="1" customFormat="1" x14ac:dyDescent="0.3">
      <c r="A375" s="23"/>
      <c r="B375" s="29"/>
      <c r="C375" s="29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184"/>
      <c r="AE375" s="184"/>
      <c r="AF375" s="184"/>
    </row>
    <row r="376" spans="1:32" s="1" customFormat="1" x14ac:dyDescent="0.3">
      <c r="A376" s="23"/>
      <c r="B376" s="29"/>
      <c r="C376" s="29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184"/>
      <c r="AE376" s="184"/>
      <c r="AF376" s="184"/>
    </row>
    <row r="377" spans="1:32" s="1" customFormat="1" x14ac:dyDescent="0.3">
      <c r="A377" s="23"/>
      <c r="B377" s="29"/>
      <c r="C377" s="29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184"/>
      <c r="AE377" s="184"/>
      <c r="AF377" s="184"/>
    </row>
    <row r="378" spans="1:32" s="1" customFormat="1" x14ac:dyDescent="0.3">
      <c r="A378" s="23"/>
      <c r="B378" s="29"/>
      <c r="C378" s="29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184"/>
      <c r="AE378" s="184"/>
      <c r="AF378" s="184"/>
    </row>
    <row r="379" spans="1:32" s="1" customFormat="1" x14ac:dyDescent="0.3">
      <c r="A379" s="23"/>
      <c r="B379" s="29"/>
      <c r="C379" s="29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184"/>
      <c r="AE379" s="184"/>
      <c r="AF379" s="184"/>
    </row>
    <row r="380" spans="1:32" s="1" customFormat="1" x14ac:dyDescent="0.3">
      <c r="A380" s="23"/>
      <c r="B380" s="29"/>
      <c r="C380" s="29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184"/>
      <c r="AE380" s="184"/>
      <c r="AF380" s="184"/>
    </row>
    <row r="381" spans="1:32" s="1" customFormat="1" x14ac:dyDescent="0.3">
      <c r="A381" s="23"/>
      <c r="B381" s="29"/>
      <c r="C381" s="29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184"/>
      <c r="AE381" s="184"/>
      <c r="AF381" s="184"/>
    </row>
    <row r="382" spans="1:32" s="1" customFormat="1" x14ac:dyDescent="0.3">
      <c r="A382" s="23"/>
      <c r="B382" s="29"/>
      <c r="C382" s="29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184"/>
      <c r="AE382" s="184"/>
      <c r="AF382" s="184"/>
    </row>
    <row r="383" spans="1:32" s="1" customFormat="1" x14ac:dyDescent="0.3">
      <c r="A383" s="23"/>
      <c r="B383" s="29"/>
      <c r="C383" s="29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184"/>
      <c r="AE383" s="184"/>
      <c r="AF383" s="184"/>
    </row>
    <row r="384" spans="1:32" s="1" customFormat="1" x14ac:dyDescent="0.3">
      <c r="A384" s="23"/>
      <c r="B384" s="29"/>
      <c r="C384" s="29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184"/>
      <c r="AE384" s="184"/>
      <c r="AF384" s="184"/>
    </row>
    <row r="385" spans="1:32" s="1" customFormat="1" x14ac:dyDescent="0.3">
      <c r="A385" s="23"/>
      <c r="B385" s="29"/>
      <c r="C385" s="29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184"/>
      <c r="AE385" s="184"/>
      <c r="AF385" s="184"/>
    </row>
    <row r="386" spans="1:32" s="1" customFormat="1" x14ac:dyDescent="0.3">
      <c r="A386" s="23"/>
      <c r="B386" s="29"/>
      <c r="C386" s="29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184"/>
      <c r="AE386" s="184"/>
      <c r="AF386" s="184"/>
    </row>
    <row r="387" spans="1:32" s="1" customFormat="1" x14ac:dyDescent="0.3">
      <c r="A387" s="23"/>
      <c r="B387" s="29"/>
      <c r="C387" s="29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184"/>
      <c r="AE387" s="184"/>
      <c r="AF387" s="184"/>
    </row>
    <row r="388" spans="1:32" s="1" customFormat="1" x14ac:dyDescent="0.3">
      <c r="A388" s="23"/>
      <c r="B388" s="29"/>
      <c r="C388" s="29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184"/>
      <c r="AE388" s="184"/>
      <c r="AF388" s="184"/>
    </row>
    <row r="389" spans="1:32" s="1" customFormat="1" x14ac:dyDescent="0.3">
      <c r="A389" s="23"/>
      <c r="B389" s="29"/>
      <c r="C389" s="29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184"/>
      <c r="AE389" s="184"/>
      <c r="AF389" s="184"/>
    </row>
    <row r="390" spans="1:32" s="1" customFormat="1" x14ac:dyDescent="0.3">
      <c r="A390" s="23"/>
      <c r="B390" s="29"/>
      <c r="C390" s="29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184"/>
      <c r="AE390" s="184"/>
      <c r="AF390" s="184"/>
    </row>
    <row r="391" spans="1:32" s="1" customFormat="1" x14ac:dyDescent="0.3">
      <c r="A391" s="23"/>
      <c r="B391" s="29"/>
      <c r="C391" s="29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184"/>
      <c r="AE391" s="184"/>
      <c r="AF391" s="184"/>
    </row>
    <row r="392" spans="1:32" s="1" customFormat="1" x14ac:dyDescent="0.3">
      <c r="A392" s="23"/>
      <c r="B392" s="29"/>
      <c r="C392" s="29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184"/>
      <c r="AE392" s="184"/>
      <c r="AF392" s="184"/>
    </row>
    <row r="393" spans="1:32" s="1" customFormat="1" x14ac:dyDescent="0.3">
      <c r="A393" s="23"/>
      <c r="B393" s="29"/>
      <c r="C393" s="29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184"/>
      <c r="AE393" s="184"/>
      <c r="AF393" s="184"/>
    </row>
    <row r="394" spans="1:32" s="1" customFormat="1" x14ac:dyDescent="0.3">
      <c r="A394" s="23"/>
      <c r="B394" s="29"/>
      <c r="C394" s="29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184"/>
      <c r="AE394" s="184"/>
      <c r="AF394" s="184"/>
    </row>
  </sheetData>
  <mergeCells count="40">
    <mergeCell ref="B1:X1"/>
    <mergeCell ref="B2:X2"/>
    <mergeCell ref="A7:Y7"/>
    <mergeCell ref="A8:Y8"/>
    <mergeCell ref="A10:A11"/>
    <mergeCell ref="B10:B11"/>
    <mergeCell ref="D10:D11"/>
    <mergeCell ref="E10:E11"/>
    <mergeCell ref="F10:F11"/>
    <mergeCell ref="G10:G11"/>
    <mergeCell ref="W10:W11"/>
    <mergeCell ref="X10:X11"/>
    <mergeCell ref="Y10:Y11"/>
    <mergeCell ref="A13:Y13"/>
    <mergeCell ref="A20:A163"/>
    <mergeCell ref="N10:N11"/>
    <mergeCell ref="O10:O11"/>
    <mergeCell ref="P10:P11"/>
    <mergeCell ref="Q10:Q11"/>
    <mergeCell ref="R10:U10"/>
    <mergeCell ref="V10:V11"/>
    <mergeCell ref="H10:H11"/>
    <mergeCell ref="I10:I11"/>
    <mergeCell ref="J10:J11"/>
    <mergeCell ref="K10:K11"/>
    <mergeCell ref="L10:L11"/>
    <mergeCell ref="M10:M11"/>
    <mergeCell ref="A353:H353"/>
    <mergeCell ref="B356:E356"/>
    <mergeCell ref="B14:B163"/>
    <mergeCell ref="A314:A342"/>
    <mergeCell ref="B314:B342"/>
    <mergeCell ref="A343:H343"/>
    <mergeCell ref="A344:A351"/>
    <mergeCell ref="B344:B351"/>
    <mergeCell ref="A352:H352"/>
    <mergeCell ref="B164:B197"/>
    <mergeCell ref="B198:B255"/>
    <mergeCell ref="B256:B295"/>
    <mergeCell ref="B296:B313"/>
  </mergeCells>
  <pageMargins left="0.51181102362204722" right="0.11811023622047245" top="0.55118110236220474" bottom="0.15748031496062992" header="0.31496062992125984" footer="0.31496062992125984"/>
  <pageSetup paperSize="9" scale="46" orientation="landscape" horizontalDpi="300" verticalDpi="300" r:id="rId1"/>
  <rowBreaks count="2" manualBreakCount="2">
    <brk id="56" max="37" man="1"/>
    <brk id="237" max="3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D133"/>
  <sheetViews>
    <sheetView view="pageBreakPreview" topLeftCell="A66" zoomScale="57" zoomScaleNormal="57" zoomScaleSheetLayoutView="57" workbookViewId="0">
      <selection activeCell="K84" sqref="K84"/>
    </sheetView>
  </sheetViews>
  <sheetFormatPr defaultColWidth="9.28515625" defaultRowHeight="18.75" x14ac:dyDescent="0.3"/>
  <cols>
    <col min="1" max="1" width="5.28515625" style="23" customWidth="1"/>
    <col min="2" max="2" width="66" style="29" customWidth="1"/>
    <col min="3" max="3" width="14.7109375" style="29" customWidth="1"/>
    <col min="4" max="4" width="13.7109375" style="23" customWidth="1"/>
    <col min="5" max="5" width="31" style="23" customWidth="1"/>
    <col min="6" max="6" width="7.42578125" style="23" customWidth="1"/>
    <col min="7" max="7" width="8.42578125" style="92" customWidth="1"/>
    <col min="8" max="8" width="7" style="92" customWidth="1"/>
    <col min="9" max="9" width="8.7109375" style="92" customWidth="1"/>
    <col min="10" max="10" width="8" style="47" customWidth="1"/>
    <col min="11" max="11" width="5.7109375" style="23" customWidth="1"/>
    <col min="12" max="12" width="10.5703125" style="23" customWidth="1"/>
    <col min="13" max="13" width="8" style="23" customWidth="1"/>
    <col min="14" max="14" width="8.28515625" style="23" customWidth="1"/>
    <col min="15" max="16" width="8.7109375" style="23" customWidth="1"/>
    <col min="17" max="17" width="7.42578125" style="23" customWidth="1"/>
    <col min="18" max="18" width="5.7109375" style="23" customWidth="1"/>
    <col min="19" max="19" width="9.42578125" style="23" customWidth="1"/>
    <col min="20" max="20" width="8" style="23" customWidth="1"/>
    <col min="21" max="21" width="7.7109375" style="23" customWidth="1"/>
    <col min="22" max="22" width="8.28515625" style="23" customWidth="1"/>
    <col min="23" max="23" width="8" style="23" customWidth="1"/>
    <col min="24" max="24" width="8.42578125" style="23" customWidth="1"/>
    <col min="25" max="25" width="12" style="46" customWidth="1"/>
    <col min="26" max="16384" width="9.28515625" style="5"/>
  </cols>
  <sheetData>
    <row r="1" spans="1:56" ht="33.75" customHeight="1" x14ac:dyDescent="0.3">
      <c r="B1" s="441" t="s">
        <v>7</v>
      </c>
      <c r="C1" s="441"/>
      <c r="D1" s="441"/>
      <c r="E1" s="441"/>
      <c r="F1" s="441"/>
      <c r="G1" s="441"/>
      <c r="H1" s="441"/>
      <c r="I1" s="441"/>
      <c r="J1" s="441"/>
      <c r="K1" s="441"/>
      <c r="L1" s="441"/>
      <c r="M1" s="441"/>
      <c r="N1" s="441"/>
      <c r="O1" s="441"/>
      <c r="P1" s="441"/>
      <c r="Q1" s="441"/>
      <c r="R1" s="441"/>
      <c r="S1" s="441"/>
      <c r="T1" s="441"/>
      <c r="U1" s="441"/>
      <c r="V1" s="441"/>
      <c r="W1" s="441"/>
      <c r="X1" s="441"/>
      <c r="Y1" s="45" t="s">
        <v>17</v>
      </c>
    </row>
    <row r="2" spans="1:56" ht="17.25" customHeight="1" x14ac:dyDescent="0.3">
      <c r="B2" s="441"/>
      <c r="C2" s="441"/>
      <c r="D2" s="441"/>
      <c r="E2" s="441"/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1"/>
      <c r="R2" s="441"/>
      <c r="S2" s="441"/>
      <c r="T2" s="441"/>
      <c r="U2" s="441"/>
      <c r="V2" s="441"/>
      <c r="W2" s="441"/>
      <c r="X2" s="441"/>
    </row>
    <row r="3" spans="1:56" ht="24" customHeight="1" x14ac:dyDescent="0.3">
      <c r="A3" s="29"/>
      <c r="D3" s="29"/>
      <c r="E3" s="29"/>
      <c r="F3" s="29"/>
      <c r="G3" s="29"/>
      <c r="H3" s="29"/>
      <c r="Q3" s="29" t="s">
        <v>18</v>
      </c>
      <c r="W3" s="92"/>
      <c r="X3" s="48"/>
      <c r="Y3" s="5"/>
    </row>
    <row r="4" spans="1:56" ht="24" customHeight="1" x14ac:dyDescent="0.3">
      <c r="A4" s="29"/>
      <c r="D4" s="29"/>
      <c r="E4" s="29"/>
      <c r="F4" s="29"/>
      <c r="G4" s="29"/>
      <c r="Q4" s="29" t="s">
        <v>162</v>
      </c>
      <c r="W4" s="29"/>
      <c r="X4" s="49"/>
      <c r="Y4" s="5"/>
    </row>
    <row r="5" spans="1:56" ht="22.5" customHeight="1" x14ac:dyDescent="0.3">
      <c r="A5" s="29"/>
      <c r="D5" s="29"/>
      <c r="E5" s="29"/>
      <c r="F5" s="29"/>
      <c r="G5" s="29"/>
      <c r="Q5" s="29" t="s">
        <v>34</v>
      </c>
      <c r="W5" s="29"/>
      <c r="X5" s="49"/>
      <c r="Y5" s="5"/>
    </row>
    <row r="6" spans="1:56" ht="6" customHeight="1" x14ac:dyDescent="0.3">
      <c r="X6" s="29"/>
      <c r="Y6" s="49"/>
    </row>
    <row r="7" spans="1:56" ht="30.75" customHeight="1" x14ac:dyDescent="0.2">
      <c r="A7" s="414" t="s">
        <v>278</v>
      </c>
      <c r="B7" s="414"/>
      <c r="C7" s="414"/>
      <c r="D7" s="414"/>
      <c r="E7" s="414"/>
      <c r="F7" s="414"/>
      <c r="G7" s="414"/>
      <c r="H7" s="414"/>
      <c r="I7" s="414"/>
      <c r="J7" s="414"/>
      <c r="K7" s="414"/>
      <c r="L7" s="414"/>
      <c r="M7" s="414"/>
      <c r="N7" s="414"/>
      <c r="O7" s="414"/>
      <c r="P7" s="414"/>
      <c r="Q7" s="414"/>
      <c r="R7" s="414"/>
      <c r="S7" s="414"/>
      <c r="T7" s="414"/>
      <c r="U7" s="414"/>
      <c r="V7" s="414"/>
      <c r="W7" s="414"/>
      <c r="X7" s="414"/>
      <c r="Y7" s="414"/>
    </row>
    <row r="8" spans="1:56" ht="30.75" customHeight="1" thickBot="1" x14ac:dyDescent="0.25">
      <c r="A8" s="414" t="s">
        <v>6</v>
      </c>
      <c r="B8" s="414"/>
      <c r="C8" s="414"/>
      <c r="D8" s="414"/>
      <c r="E8" s="414"/>
      <c r="F8" s="414"/>
      <c r="G8" s="414"/>
      <c r="H8" s="414"/>
      <c r="I8" s="414"/>
      <c r="J8" s="414"/>
      <c r="K8" s="414"/>
      <c r="L8" s="414"/>
      <c r="M8" s="414"/>
      <c r="N8" s="414"/>
      <c r="O8" s="414"/>
      <c r="P8" s="414"/>
      <c r="Q8" s="414"/>
      <c r="R8" s="414"/>
      <c r="S8" s="414"/>
      <c r="T8" s="414"/>
      <c r="U8" s="414"/>
      <c r="V8" s="414"/>
      <c r="W8" s="414"/>
      <c r="X8" s="414"/>
      <c r="Y8" s="414"/>
    </row>
    <row r="9" spans="1:56" ht="41.25" customHeight="1" x14ac:dyDescent="0.2">
      <c r="A9" s="416" t="s">
        <v>19</v>
      </c>
      <c r="B9" s="417" t="s">
        <v>20</v>
      </c>
      <c r="C9" s="338"/>
      <c r="D9" s="410" t="s">
        <v>12</v>
      </c>
      <c r="E9" s="410" t="s">
        <v>13</v>
      </c>
      <c r="F9" s="410" t="s">
        <v>57</v>
      </c>
      <c r="G9" s="410" t="s">
        <v>21</v>
      </c>
      <c r="H9" s="410" t="s">
        <v>22</v>
      </c>
      <c r="I9" s="410" t="s">
        <v>23</v>
      </c>
      <c r="J9" s="432" t="s">
        <v>9</v>
      </c>
      <c r="K9" s="410" t="s">
        <v>10</v>
      </c>
      <c r="L9" s="410" t="s">
        <v>38</v>
      </c>
      <c r="M9" s="410" t="s">
        <v>14</v>
      </c>
      <c r="N9" s="410" t="s">
        <v>37</v>
      </c>
      <c r="O9" s="410" t="s">
        <v>15</v>
      </c>
      <c r="P9" s="410" t="s">
        <v>24</v>
      </c>
      <c r="Q9" s="410" t="s">
        <v>16</v>
      </c>
      <c r="R9" s="412" t="s">
        <v>25</v>
      </c>
      <c r="S9" s="412"/>
      <c r="T9" s="412"/>
      <c r="U9" s="412"/>
      <c r="V9" s="410" t="s">
        <v>36</v>
      </c>
      <c r="W9" s="410" t="s">
        <v>26</v>
      </c>
      <c r="X9" s="410" t="s">
        <v>11</v>
      </c>
      <c r="Y9" s="419" t="s">
        <v>58</v>
      </c>
    </row>
    <row r="10" spans="1:56" ht="123" customHeight="1" x14ac:dyDescent="0.2">
      <c r="A10" s="398"/>
      <c r="B10" s="418"/>
      <c r="C10" s="339" t="s">
        <v>670</v>
      </c>
      <c r="D10" s="411"/>
      <c r="E10" s="411"/>
      <c r="F10" s="411"/>
      <c r="G10" s="411"/>
      <c r="H10" s="411"/>
      <c r="I10" s="411"/>
      <c r="J10" s="433"/>
      <c r="K10" s="411"/>
      <c r="L10" s="411"/>
      <c r="M10" s="411"/>
      <c r="N10" s="411"/>
      <c r="O10" s="411"/>
      <c r="P10" s="411"/>
      <c r="Q10" s="411"/>
      <c r="R10" s="83" t="s">
        <v>28</v>
      </c>
      <c r="S10" s="83" t="s">
        <v>29</v>
      </c>
      <c r="T10" s="83" t="s">
        <v>30</v>
      </c>
      <c r="U10" s="83" t="s">
        <v>0</v>
      </c>
      <c r="V10" s="411"/>
      <c r="W10" s="411"/>
      <c r="X10" s="411"/>
      <c r="Y10" s="420"/>
    </row>
    <row r="11" spans="1:56" ht="24" customHeight="1" thickBot="1" x14ac:dyDescent="0.25">
      <c r="A11" s="69">
        <v>1</v>
      </c>
      <c r="B11" s="72">
        <v>2</v>
      </c>
      <c r="C11" s="72"/>
      <c r="D11" s="72">
        <v>3</v>
      </c>
      <c r="E11" s="72">
        <v>4</v>
      </c>
      <c r="F11" s="72">
        <v>5</v>
      </c>
      <c r="G11" s="72">
        <v>6</v>
      </c>
      <c r="H11" s="72">
        <v>7</v>
      </c>
      <c r="I11" s="72">
        <v>8</v>
      </c>
      <c r="J11" s="70">
        <v>9</v>
      </c>
      <c r="K11" s="72">
        <v>10</v>
      </c>
      <c r="L11" s="72">
        <v>11</v>
      </c>
      <c r="M11" s="72">
        <v>12</v>
      </c>
      <c r="N11" s="72">
        <v>13</v>
      </c>
      <c r="O11" s="72">
        <v>14</v>
      </c>
      <c r="P11" s="72">
        <v>15</v>
      </c>
      <c r="Q11" s="72">
        <v>16</v>
      </c>
      <c r="R11" s="72">
        <v>17</v>
      </c>
      <c r="S11" s="72">
        <v>18</v>
      </c>
      <c r="T11" s="72">
        <v>19</v>
      </c>
      <c r="U11" s="72">
        <v>20</v>
      </c>
      <c r="V11" s="72">
        <v>21</v>
      </c>
      <c r="W11" s="72">
        <v>22</v>
      </c>
      <c r="X11" s="72">
        <v>23</v>
      </c>
      <c r="Y11" s="50">
        <v>24</v>
      </c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</row>
    <row r="12" spans="1:56" s="3" customFormat="1" ht="34.5" customHeight="1" thickBot="1" x14ac:dyDescent="0.3">
      <c r="A12" s="392" t="s">
        <v>154</v>
      </c>
      <c r="B12" s="393"/>
      <c r="C12" s="393"/>
      <c r="D12" s="393"/>
      <c r="E12" s="393"/>
      <c r="F12" s="393"/>
      <c r="G12" s="393"/>
      <c r="H12" s="393"/>
      <c r="I12" s="393"/>
      <c r="J12" s="393"/>
      <c r="K12" s="393"/>
      <c r="L12" s="393"/>
      <c r="M12" s="393"/>
      <c r="N12" s="393"/>
      <c r="O12" s="393"/>
      <c r="P12" s="393"/>
      <c r="Q12" s="393"/>
      <c r="R12" s="393"/>
      <c r="S12" s="393"/>
      <c r="T12" s="393"/>
      <c r="U12" s="393"/>
      <c r="V12" s="393"/>
      <c r="W12" s="393"/>
      <c r="X12" s="393"/>
      <c r="Y12" s="428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</row>
    <row r="13" spans="1:56" s="15" customFormat="1" ht="29.25" customHeight="1" x14ac:dyDescent="0.3">
      <c r="A13" s="429">
        <v>1</v>
      </c>
      <c r="B13" s="430" t="s">
        <v>189</v>
      </c>
      <c r="C13" s="343"/>
      <c r="D13" s="248" t="s">
        <v>114</v>
      </c>
      <c r="E13" s="249" t="s">
        <v>185</v>
      </c>
      <c r="F13" s="249">
        <v>5</v>
      </c>
      <c r="G13" s="250" t="s">
        <v>35</v>
      </c>
      <c r="H13" s="249">
        <v>27</v>
      </c>
      <c r="I13" s="250">
        <v>15</v>
      </c>
      <c r="J13" s="249">
        <v>30</v>
      </c>
      <c r="K13" s="249"/>
      <c r="L13" s="249"/>
      <c r="M13" s="249">
        <v>15</v>
      </c>
      <c r="N13" s="249"/>
      <c r="O13" s="235" t="s">
        <v>434</v>
      </c>
      <c r="P13" s="235"/>
      <c r="Q13" s="249"/>
      <c r="R13" s="249"/>
      <c r="S13" s="249"/>
      <c r="T13" s="249"/>
      <c r="U13" s="249"/>
      <c r="V13" s="249"/>
      <c r="W13" s="249"/>
      <c r="X13" s="251"/>
      <c r="Y13" s="252">
        <v>2.1</v>
      </c>
      <c r="Z13" s="15" t="s">
        <v>434</v>
      </c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</row>
    <row r="14" spans="1:56" s="15" customFormat="1" ht="29.25" customHeight="1" x14ac:dyDescent="0.3">
      <c r="A14" s="421"/>
      <c r="B14" s="423"/>
      <c r="C14" s="341"/>
      <c r="D14" s="225" t="s">
        <v>114</v>
      </c>
      <c r="E14" s="174" t="s">
        <v>186</v>
      </c>
      <c r="F14" s="174">
        <v>5</v>
      </c>
      <c r="G14" s="176" t="s">
        <v>35</v>
      </c>
      <c r="H14" s="174">
        <v>16</v>
      </c>
      <c r="I14" s="176"/>
      <c r="J14" s="174">
        <v>30</v>
      </c>
      <c r="K14" s="174"/>
      <c r="L14" s="174"/>
      <c r="M14" s="174"/>
      <c r="N14" s="174"/>
      <c r="O14" s="235" t="s">
        <v>434</v>
      </c>
      <c r="P14" s="235"/>
      <c r="Q14" s="174"/>
      <c r="R14" s="174"/>
      <c r="S14" s="174"/>
      <c r="T14" s="174"/>
      <c r="U14" s="174"/>
      <c r="V14" s="174"/>
      <c r="W14" s="174"/>
      <c r="X14" s="243"/>
      <c r="Y14" s="232">
        <v>1.1000000000000001</v>
      </c>
      <c r="Z14" s="15" t="s">
        <v>434</v>
      </c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</row>
    <row r="15" spans="1:56" s="15" customFormat="1" ht="29.25" customHeight="1" x14ac:dyDescent="0.3">
      <c r="A15" s="421"/>
      <c r="B15" s="423"/>
      <c r="C15" s="341"/>
      <c r="D15" s="225" t="s">
        <v>114</v>
      </c>
      <c r="E15" s="174" t="s">
        <v>187</v>
      </c>
      <c r="F15" s="174">
        <v>5</v>
      </c>
      <c r="G15" s="176" t="s">
        <v>32</v>
      </c>
      <c r="H15" s="174">
        <v>13</v>
      </c>
      <c r="I15" s="176">
        <v>15</v>
      </c>
      <c r="J15" s="174">
        <v>30</v>
      </c>
      <c r="K15" s="174"/>
      <c r="L15" s="174"/>
      <c r="M15" s="174">
        <v>15</v>
      </c>
      <c r="N15" s="174"/>
      <c r="O15" s="235" t="s">
        <v>415</v>
      </c>
      <c r="P15" s="235"/>
      <c r="Q15" s="174"/>
      <c r="R15" s="174"/>
      <c r="S15" s="174"/>
      <c r="T15" s="174"/>
      <c r="U15" s="174"/>
      <c r="V15" s="174"/>
      <c r="W15" s="174"/>
      <c r="X15" s="243"/>
      <c r="Y15" s="232">
        <v>2.1</v>
      </c>
      <c r="Z15" s="15" t="s">
        <v>415</v>
      </c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</row>
    <row r="16" spans="1:56" s="15" customFormat="1" ht="43.5" customHeight="1" x14ac:dyDescent="0.3">
      <c r="A16" s="253">
        <v>2</v>
      </c>
      <c r="B16" s="247" t="s">
        <v>263</v>
      </c>
      <c r="C16" s="340"/>
      <c r="D16" s="176" t="s">
        <v>210</v>
      </c>
      <c r="E16" s="176" t="s">
        <v>251</v>
      </c>
      <c r="F16" s="174">
        <v>5</v>
      </c>
      <c r="G16" s="176" t="s">
        <v>35</v>
      </c>
      <c r="H16" s="176">
        <v>6</v>
      </c>
      <c r="I16" s="176">
        <v>15</v>
      </c>
      <c r="J16" s="174">
        <v>30</v>
      </c>
      <c r="K16" s="174"/>
      <c r="L16" s="174"/>
      <c r="M16" s="174">
        <v>15</v>
      </c>
      <c r="N16" s="174"/>
      <c r="O16" s="235" t="s">
        <v>431</v>
      </c>
      <c r="P16" s="235"/>
      <c r="Q16" s="174"/>
      <c r="R16" s="174"/>
      <c r="S16" s="174"/>
      <c r="T16" s="174"/>
      <c r="U16" s="174"/>
      <c r="V16" s="174"/>
      <c r="W16" s="174"/>
      <c r="X16" s="243"/>
      <c r="Y16" s="232">
        <v>2.1</v>
      </c>
      <c r="Z16" s="15" t="s">
        <v>431</v>
      </c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</row>
    <row r="17" spans="1:56" s="15" customFormat="1" ht="29.25" customHeight="1" x14ac:dyDescent="0.3">
      <c r="A17" s="253">
        <v>3</v>
      </c>
      <c r="B17" s="247" t="s">
        <v>264</v>
      </c>
      <c r="C17" s="340"/>
      <c r="D17" s="176" t="s">
        <v>210</v>
      </c>
      <c r="E17" s="176" t="s">
        <v>251</v>
      </c>
      <c r="F17" s="174">
        <v>5</v>
      </c>
      <c r="G17" s="176" t="s">
        <v>35</v>
      </c>
      <c r="H17" s="176">
        <v>6</v>
      </c>
      <c r="I17" s="176">
        <v>15</v>
      </c>
      <c r="J17" s="174">
        <v>30</v>
      </c>
      <c r="K17" s="174"/>
      <c r="L17" s="174"/>
      <c r="M17" s="174">
        <v>15</v>
      </c>
      <c r="N17" s="174"/>
      <c r="O17" s="235" t="s">
        <v>431</v>
      </c>
      <c r="P17" s="235"/>
      <c r="Q17" s="174"/>
      <c r="R17" s="174"/>
      <c r="S17" s="174"/>
      <c r="T17" s="174"/>
      <c r="U17" s="174"/>
      <c r="V17" s="174"/>
      <c r="W17" s="174"/>
      <c r="X17" s="243"/>
      <c r="Y17" s="232">
        <v>2.1</v>
      </c>
      <c r="Z17" s="15" t="s">
        <v>662</v>
      </c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</row>
    <row r="18" spans="1:56" s="15" customFormat="1" ht="29.25" customHeight="1" x14ac:dyDescent="0.3">
      <c r="A18" s="253">
        <v>4</v>
      </c>
      <c r="B18" s="247" t="s">
        <v>265</v>
      </c>
      <c r="C18" s="340"/>
      <c r="D18" s="176" t="s">
        <v>210</v>
      </c>
      <c r="E18" s="176" t="s">
        <v>251</v>
      </c>
      <c r="F18" s="174">
        <v>5</v>
      </c>
      <c r="G18" s="176" t="s">
        <v>35</v>
      </c>
      <c r="H18" s="176">
        <v>6</v>
      </c>
      <c r="I18" s="176">
        <v>15</v>
      </c>
      <c r="J18" s="174">
        <v>30</v>
      </c>
      <c r="K18" s="174"/>
      <c r="L18" s="174"/>
      <c r="M18" s="174">
        <v>15</v>
      </c>
      <c r="N18" s="174"/>
      <c r="O18" s="235" t="s">
        <v>431</v>
      </c>
      <c r="P18" s="235"/>
      <c r="Q18" s="174"/>
      <c r="R18" s="174"/>
      <c r="S18" s="174"/>
      <c r="T18" s="174"/>
      <c r="U18" s="174"/>
      <c r="V18" s="174"/>
      <c r="W18" s="174"/>
      <c r="X18" s="243"/>
      <c r="Y18" s="232">
        <v>2.1</v>
      </c>
      <c r="Z18" s="15" t="s">
        <v>431</v>
      </c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</row>
    <row r="19" spans="1:56" s="15" customFormat="1" ht="32.25" customHeight="1" x14ac:dyDescent="0.3">
      <c r="A19" s="254"/>
      <c r="B19" s="404" t="s">
        <v>347</v>
      </c>
      <c r="C19" s="344"/>
      <c r="D19" s="174" t="s">
        <v>62</v>
      </c>
      <c r="E19" s="174" t="s">
        <v>292</v>
      </c>
      <c r="F19" s="175">
        <v>5</v>
      </c>
      <c r="G19" s="176" t="s">
        <v>35</v>
      </c>
      <c r="H19" s="174">
        <v>9</v>
      </c>
      <c r="I19" s="174">
        <v>30</v>
      </c>
      <c r="J19" s="255">
        <v>8</v>
      </c>
      <c r="K19" s="174">
        <v>7</v>
      </c>
      <c r="L19" s="174"/>
      <c r="M19" s="174">
        <v>15</v>
      </c>
      <c r="N19" s="174"/>
      <c r="O19" s="235" t="s">
        <v>417</v>
      </c>
      <c r="P19" s="235"/>
      <c r="Q19" s="174"/>
      <c r="R19" s="174"/>
      <c r="S19" s="174"/>
      <c r="T19" s="174"/>
      <c r="U19" s="174"/>
      <c r="V19" s="174"/>
      <c r="W19" s="174"/>
      <c r="X19" s="243"/>
      <c r="Y19" s="232">
        <v>2.1</v>
      </c>
      <c r="Z19" s="15" t="s">
        <v>417</v>
      </c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</row>
    <row r="20" spans="1:56" s="15" customFormat="1" ht="32.25" customHeight="1" x14ac:dyDescent="0.3">
      <c r="A20" s="254"/>
      <c r="B20" s="405"/>
      <c r="C20" s="345"/>
      <c r="D20" s="174" t="s">
        <v>62</v>
      </c>
      <c r="E20" s="174" t="s">
        <v>305</v>
      </c>
      <c r="F20" s="175">
        <v>5</v>
      </c>
      <c r="G20" s="176" t="s">
        <v>32</v>
      </c>
      <c r="H20" s="174">
        <v>5</v>
      </c>
      <c r="I20" s="174">
        <v>30</v>
      </c>
      <c r="J20" s="255">
        <v>8</v>
      </c>
      <c r="K20" s="174">
        <v>7</v>
      </c>
      <c r="L20" s="174"/>
      <c r="M20" s="174">
        <v>15</v>
      </c>
      <c r="N20" s="174"/>
      <c r="O20" s="235" t="s">
        <v>417</v>
      </c>
      <c r="P20" s="235"/>
      <c r="Q20" s="174"/>
      <c r="R20" s="174"/>
      <c r="S20" s="174"/>
      <c r="T20" s="174"/>
      <c r="U20" s="174"/>
      <c r="V20" s="174"/>
      <c r="W20" s="174"/>
      <c r="X20" s="243"/>
      <c r="Y20" s="232">
        <v>1.05</v>
      </c>
      <c r="Z20" s="15" t="s">
        <v>417</v>
      </c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</row>
    <row r="21" spans="1:56" s="15" customFormat="1" ht="32.25" customHeight="1" x14ac:dyDescent="0.3">
      <c r="A21" s="254"/>
      <c r="B21" s="404" t="s">
        <v>348</v>
      </c>
      <c r="C21" s="344"/>
      <c r="D21" s="174" t="s">
        <v>62</v>
      </c>
      <c r="E21" s="174" t="s">
        <v>292</v>
      </c>
      <c r="F21" s="175">
        <v>5</v>
      </c>
      <c r="G21" s="176" t="s">
        <v>35</v>
      </c>
      <c r="H21" s="174">
        <v>9</v>
      </c>
      <c r="I21" s="174">
        <v>30</v>
      </c>
      <c r="J21" s="255">
        <v>8</v>
      </c>
      <c r="K21" s="174">
        <v>7</v>
      </c>
      <c r="L21" s="174"/>
      <c r="M21" s="174">
        <v>15</v>
      </c>
      <c r="N21" s="174"/>
      <c r="O21" s="256" t="s">
        <v>404</v>
      </c>
      <c r="P21" s="235"/>
      <c r="Q21" s="174"/>
      <c r="R21" s="174"/>
      <c r="S21" s="174"/>
      <c r="T21" s="174"/>
      <c r="U21" s="174"/>
      <c r="V21" s="174"/>
      <c r="W21" s="174"/>
      <c r="X21" s="243"/>
      <c r="Y21" s="232">
        <v>2.1</v>
      </c>
      <c r="Z21" s="173" t="s">
        <v>404</v>
      </c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</row>
    <row r="22" spans="1:56" s="15" customFormat="1" ht="32.25" customHeight="1" x14ac:dyDescent="0.3">
      <c r="A22" s="254"/>
      <c r="B22" s="431"/>
      <c r="C22" s="346"/>
      <c r="D22" s="174" t="s">
        <v>62</v>
      </c>
      <c r="E22" s="174" t="s">
        <v>305</v>
      </c>
      <c r="F22" s="175">
        <v>5</v>
      </c>
      <c r="G22" s="176" t="s">
        <v>32</v>
      </c>
      <c r="H22" s="174">
        <v>5</v>
      </c>
      <c r="I22" s="174">
        <v>30</v>
      </c>
      <c r="J22" s="255">
        <v>8</v>
      </c>
      <c r="K22" s="174">
        <v>7</v>
      </c>
      <c r="L22" s="174"/>
      <c r="M22" s="174">
        <v>15</v>
      </c>
      <c r="N22" s="174"/>
      <c r="O22" s="256" t="s">
        <v>423</v>
      </c>
      <c r="P22" s="235"/>
      <c r="Q22" s="174"/>
      <c r="R22" s="174"/>
      <c r="S22" s="174"/>
      <c r="T22" s="174"/>
      <c r="U22" s="174"/>
      <c r="V22" s="174"/>
      <c r="W22" s="174"/>
      <c r="X22" s="243"/>
      <c r="Y22" s="232">
        <v>1.05</v>
      </c>
      <c r="Z22" s="173" t="s">
        <v>423</v>
      </c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</row>
    <row r="23" spans="1:56" s="15" customFormat="1" ht="29.25" customHeight="1" x14ac:dyDescent="0.2">
      <c r="A23" s="253">
        <v>5</v>
      </c>
      <c r="B23" s="245" t="s">
        <v>658</v>
      </c>
      <c r="C23" s="344"/>
      <c r="D23" s="174" t="s">
        <v>198</v>
      </c>
      <c r="E23" s="174" t="s">
        <v>90</v>
      </c>
      <c r="F23" s="175">
        <v>5</v>
      </c>
      <c r="G23" s="176" t="s">
        <v>35</v>
      </c>
      <c r="H23" s="174">
        <v>10</v>
      </c>
      <c r="I23" s="174">
        <v>15</v>
      </c>
      <c r="J23" s="255">
        <v>30</v>
      </c>
      <c r="K23" s="174"/>
      <c r="L23" s="174"/>
      <c r="M23" s="174">
        <v>15</v>
      </c>
      <c r="N23" s="174"/>
      <c r="O23" s="235" t="s">
        <v>421</v>
      </c>
      <c r="P23" s="235"/>
      <c r="Q23" s="174"/>
      <c r="R23" s="174"/>
      <c r="S23" s="174"/>
      <c r="T23" s="174"/>
      <c r="U23" s="174"/>
      <c r="V23" s="174"/>
      <c r="W23" s="174"/>
      <c r="X23" s="174"/>
      <c r="Y23" s="232">
        <v>2.1</v>
      </c>
      <c r="Z23" s="15" t="s">
        <v>421</v>
      </c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</row>
    <row r="24" spans="1:56" s="3" customFormat="1" ht="42.75" customHeight="1" x14ac:dyDescent="0.25">
      <c r="A24" s="253">
        <v>6</v>
      </c>
      <c r="B24" s="247" t="s">
        <v>657</v>
      </c>
      <c r="C24" s="340"/>
      <c r="D24" s="174" t="s">
        <v>198</v>
      </c>
      <c r="E24" s="174" t="s">
        <v>90</v>
      </c>
      <c r="F24" s="175">
        <v>5</v>
      </c>
      <c r="G24" s="176" t="s">
        <v>35</v>
      </c>
      <c r="H24" s="174">
        <v>10</v>
      </c>
      <c r="I24" s="174">
        <v>15</v>
      </c>
      <c r="J24" s="174">
        <v>23</v>
      </c>
      <c r="K24" s="174">
        <v>7</v>
      </c>
      <c r="L24" s="174"/>
      <c r="M24" s="174">
        <v>15</v>
      </c>
      <c r="N24" s="174"/>
      <c r="O24" s="256" t="s">
        <v>436</v>
      </c>
      <c r="P24" s="256"/>
      <c r="Q24" s="257"/>
      <c r="R24" s="257"/>
      <c r="S24" s="257"/>
      <c r="T24" s="257"/>
      <c r="U24" s="257"/>
      <c r="V24" s="257"/>
      <c r="W24" s="257"/>
      <c r="X24" s="257"/>
      <c r="Y24" s="239">
        <v>2.1</v>
      </c>
      <c r="Z24" s="173" t="s">
        <v>436</v>
      </c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</row>
    <row r="25" spans="1:56" s="3" customFormat="1" ht="42.75" customHeight="1" x14ac:dyDescent="0.25">
      <c r="A25" s="253">
        <v>7</v>
      </c>
      <c r="B25" s="245" t="s">
        <v>173</v>
      </c>
      <c r="C25" s="344"/>
      <c r="D25" s="174" t="s">
        <v>198</v>
      </c>
      <c r="E25" s="174" t="s">
        <v>90</v>
      </c>
      <c r="F25" s="175">
        <v>5</v>
      </c>
      <c r="G25" s="176" t="s">
        <v>35</v>
      </c>
      <c r="H25" s="174">
        <v>10</v>
      </c>
      <c r="I25" s="174">
        <v>15</v>
      </c>
      <c r="J25" s="255">
        <v>30</v>
      </c>
      <c r="K25" s="174"/>
      <c r="L25" s="174"/>
      <c r="M25" s="174">
        <v>15</v>
      </c>
      <c r="N25" s="174"/>
      <c r="O25" s="256" t="s">
        <v>402</v>
      </c>
      <c r="P25" s="256"/>
      <c r="Q25" s="174"/>
      <c r="R25" s="174"/>
      <c r="S25" s="174"/>
      <c r="T25" s="174"/>
      <c r="U25" s="174"/>
      <c r="V25" s="174"/>
      <c r="W25" s="174"/>
      <c r="X25" s="174"/>
      <c r="Y25" s="232">
        <v>2.1</v>
      </c>
      <c r="Z25" s="173" t="s">
        <v>402</v>
      </c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</row>
    <row r="26" spans="1:56" s="3" customFormat="1" ht="42.75" customHeight="1" x14ac:dyDescent="0.25">
      <c r="A26" s="253">
        <v>8</v>
      </c>
      <c r="B26" s="247" t="s">
        <v>262</v>
      </c>
      <c r="C26" s="340"/>
      <c r="D26" s="174" t="s">
        <v>198</v>
      </c>
      <c r="E26" s="174" t="s">
        <v>90</v>
      </c>
      <c r="F26" s="175">
        <v>5</v>
      </c>
      <c r="G26" s="176" t="s">
        <v>35</v>
      </c>
      <c r="H26" s="174">
        <v>10</v>
      </c>
      <c r="I26" s="174">
        <v>15</v>
      </c>
      <c r="J26" s="255">
        <v>30</v>
      </c>
      <c r="K26" s="174"/>
      <c r="L26" s="174"/>
      <c r="M26" s="174">
        <v>15</v>
      </c>
      <c r="N26" s="174"/>
      <c r="O26" s="256" t="s">
        <v>402</v>
      </c>
      <c r="P26" s="256"/>
      <c r="Q26" s="174"/>
      <c r="R26" s="174"/>
      <c r="S26" s="174"/>
      <c r="T26" s="174"/>
      <c r="U26" s="174"/>
      <c r="V26" s="174"/>
      <c r="W26" s="174"/>
      <c r="X26" s="174"/>
      <c r="Y26" s="232">
        <v>2.1</v>
      </c>
      <c r="Z26" s="173" t="s">
        <v>402</v>
      </c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</row>
    <row r="27" spans="1:56" s="3" customFormat="1" ht="33" customHeight="1" x14ac:dyDescent="0.25">
      <c r="A27" s="421">
        <v>9</v>
      </c>
      <c r="B27" s="422" t="s">
        <v>656</v>
      </c>
      <c r="C27" s="395" t="s">
        <v>673</v>
      </c>
      <c r="D27" s="174" t="s">
        <v>62</v>
      </c>
      <c r="E27" s="174" t="s">
        <v>121</v>
      </c>
      <c r="F27" s="175">
        <v>5</v>
      </c>
      <c r="G27" s="176" t="s">
        <v>35</v>
      </c>
      <c r="H27" s="174">
        <v>14</v>
      </c>
      <c r="I27" s="174">
        <v>15</v>
      </c>
      <c r="J27" s="174">
        <v>23</v>
      </c>
      <c r="K27" s="174">
        <v>7</v>
      </c>
      <c r="L27" s="174"/>
      <c r="M27" s="174">
        <v>15</v>
      </c>
      <c r="N27" s="174"/>
      <c r="O27" s="173" t="s">
        <v>426</v>
      </c>
      <c r="P27" s="256"/>
      <c r="Q27" s="257"/>
      <c r="R27" s="257"/>
      <c r="S27" s="257"/>
      <c r="T27" s="257"/>
      <c r="U27" s="257"/>
      <c r="V27" s="257"/>
      <c r="W27" s="257"/>
      <c r="X27" s="257"/>
      <c r="Y27" s="239">
        <v>2.1</v>
      </c>
      <c r="Z27" s="173" t="s">
        <v>424</v>
      </c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</row>
    <row r="28" spans="1:56" s="3" customFormat="1" ht="33" customHeight="1" x14ac:dyDescent="0.25">
      <c r="A28" s="421"/>
      <c r="B28" s="422"/>
      <c r="C28" s="397"/>
      <c r="D28" s="174" t="s">
        <v>62</v>
      </c>
      <c r="E28" s="174" t="s">
        <v>176</v>
      </c>
      <c r="F28" s="175">
        <v>5</v>
      </c>
      <c r="G28" s="176" t="s">
        <v>32</v>
      </c>
      <c r="H28" s="174">
        <v>4</v>
      </c>
      <c r="I28" s="174">
        <v>15</v>
      </c>
      <c r="J28" s="174">
        <v>23</v>
      </c>
      <c r="K28" s="174">
        <v>7</v>
      </c>
      <c r="L28" s="174"/>
      <c r="M28" s="174">
        <v>15</v>
      </c>
      <c r="N28" s="174"/>
      <c r="O28" s="256" t="s">
        <v>404</v>
      </c>
      <c r="P28" s="256"/>
      <c r="Q28" s="257"/>
      <c r="R28" s="257"/>
      <c r="S28" s="257"/>
      <c r="T28" s="257"/>
      <c r="U28" s="257"/>
      <c r="V28" s="257"/>
      <c r="W28" s="257"/>
      <c r="X28" s="257"/>
      <c r="Y28" s="239">
        <v>1.05</v>
      </c>
      <c r="Z28" s="173" t="s">
        <v>404</v>
      </c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</row>
    <row r="29" spans="1:56" s="3" customFormat="1" ht="33" customHeight="1" x14ac:dyDescent="0.25">
      <c r="A29" s="421">
        <v>10</v>
      </c>
      <c r="B29" s="422" t="s">
        <v>228</v>
      </c>
      <c r="C29" s="395" t="s">
        <v>673</v>
      </c>
      <c r="D29" s="174" t="s">
        <v>62</v>
      </c>
      <c r="E29" s="174" t="s">
        <v>121</v>
      </c>
      <c r="F29" s="175">
        <v>4</v>
      </c>
      <c r="G29" s="176" t="s">
        <v>35</v>
      </c>
      <c r="H29" s="174">
        <v>14</v>
      </c>
      <c r="I29" s="174">
        <v>15</v>
      </c>
      <c r="J29" s="174">
        <v>30</v>
      </c>
      <c r="K29" s="174"/>
      <c r="L29" s="174"/>
      <c r="M29" s="174">
        <v>8</v>
      </c>
      <c r="N29" s="174"/>
      <c r="O29" s="256" t="s">
        <v>403</v>
      </c>
      <c r="P29" s="256"/>
      <c r="Q29" s="257"/>
      <c r="R29" s="257"/>
      <c r="S29" s="257"/>
      <c r="T29" s="257"/>
      <c r="U29" s="257"/>
      <c r="V29" s="257"/>
      <c r="W29" s="257"/>
      <c r="X29" s="257"/>
      <c r="Y29" s="239">
        <v>1.9</v>
      </c>
      <c r="Z29" s="173" t="s">
        <v>403</v>
      </c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</row>
    <row r="30" spans="1:56" s="3" customFormat="1" ht="33" customHeight="1" x14ac:dyDescent="0.25">
      <c r="A30" s="421"/>
      <c r="B30" s="422"/>
      <c r="C30" s="397"/>
      <c r="D30" s="174" t="s">
        <v>62</v>
      </c>
      <c r="E30" s="174" t="s">
        <v>176</v>
      </c>
      <c r="F30" s="175">
        <v>4</v>
      </c>
      <c r="G30" s="176" t="s">
        <v>32</v>
      </c>
      <c r="H30" s="174">
        <v>4</v>
      </c>
      <c r="I30" s="174">
        <v>15</v>
      </c>
      <c r="J30" s="174">
        <v>30</v>
      </c>
      <c r="K30" s="174"/>
      <c r="L30" s="174"/>
      <c r="M30" s="174">
        <v>8</v>
      </c>
      <c r="N30" s="174"/>
      <c r="O30" s="256" t="s">
        <v>420</v>
      </c>
      <c r="P30" s="256"/>
      <c r="Q30" s="257"/>
      <c r="R30" s="257"/>
      <c r="S30" s="257"/>
      <c r="T30" s="257"/>
      <c r="U30" s="257"/>
      <c r="V30" s="257"/>
      <c r="W30" s="257"/>
      <c r="X30" s="257"/>
      <c r="Y30" s="239">
        <v>0.95</v>
      </c>
      <c r="Z30" s="173" t="s">
        <v>420</v>
      </c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</row>
    <row r="31" spans="1:56" s="3" customFormat="1" ht="33" customHeight="1" x14ac:dyDescent="0.25">
      <c r="A31" s="421">
        <v>11</v>
      </c>
      <c r="B31" s="422" t="s">
        <v>659</v>
      </c>
      <c r="C31" s="395" t="s">
        <v>673</v>
      </c>
      <c r="D31" s="174" t="s">
        <v>62</v>
      </c>
      <c r="E31" s="174" t="s">
        <v>121</v>
      </c>
      <c r="F31" s="175">
        <v>5</v>
      </c>
      <c r="G31" s="176" t="s">
        <v>35</v>
      </c>
      <c r="H31" s="174">
        <v>14</v>
      </c>
      <c r="I31" s="174">
        <v>15</v>
      </c>
      <c r="J31" s="174">
        <v>30</v>
      </c>
      <c r="K31" s="174"/>
      <c r="L31" s="174"/>
      <c r="M31" s="174">
        <v>15</v>
      </c>
      <c r="N31" s="174"/>
      <c r="O31" s="256" t="s">
        <v>419</v>
      </c>
      <c r="P31" s="256"/>
      <c r="Q31" s="257"/>
      <c r="R31" s="257"/>
      <c r="S31" s="257"/>
      <c r="T31" s="257"/>
      <c r="U31" s="257"/>
      <c r="V31" s="257"/>
      <c r="W31" s="257"/>
      <c r="X31" s="257"/>
      <c r="Y31" s="239">
        <v>2.1</v>
      </c>
      <c r="Z31" s="173" t="s">
        <v>419</v>
      </c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</row>
    <row r="32" spans="1:56" s="3" customFormat="1" ht="33" customHeight="1" x14ac:dyDescent="0.25">
      <c r="A32" s="421"/>
      <c r="B32" s="422"/>
      <c r="C32" s="397"/>
      <c r="D32" s="174" t="s">
        <v>62</v>
      </c>
      <c r="E32" s="174" t="s">
        <v>176</v>
      </c>
      <c r="F32" s="175">
        <v>5</v>
      </c>
      <c r="G32" s="176" t="s">
        <v>32</v>
      </c>
      <c r="H32" s="174">
        <v>4</v>
      </c>
      <c r="I32" s="174">
        <v>15</v>
      </c>
      <c r="J32" s="174">
        <v>30</v>
      </c>
      <c r="K32" s="174"/>
      <c r="L32" s="174"/>
      <c r="M32" s="174">
        <v>15</v>
      </c>
      <c r="N32" s="174"/>
      <c r="O32" s="256" t="s">
        <v>419</v>
      </c>
      <c r="P32" s="256"/>
      <c r="Q32" s="257"/>
      <c r="R32" s="257"/>
      <c r="S32" s="257"/>
      <c r="T32" s="257"/>
      <c r="U32" s="257"/>
      <c r="V32" s="257"/>
      <c r="W32" s="257"/>
      <c r="X32" s="257"/>
      <c r="Y32" s="239">
        <v>1.05</v>
      </c>
      <c r="Z32" s="173" t="s">
        <v>419</v>
      </c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</row>
    <row r="33" spans="1:56" s="3" customFormat="1" ht="33" customHeight="1" x14ac:dyDescent="0.25">
      <c r="A33" s="421">
        <v>12</v>
      </c>
      <c r="B33" s="422" t="s">
        <v>226</v>
      </c>
      <c r="C33" s="395" t="s">
        <v>673</v>
      </c>
      <c r="D33" s="174" t="s">
        <v>62</v>
      </c>
      <c r="E33" s="174" t="s">
        <v>121</v>
      </c>
      <c r="F33" s="175">
        <v>5</v>
      </c>
      <c r="G33" s="176" t="s">
        <v>35</v>
      </c>
      <c r="H33" s="174">
        <v>14</v>
      </c>
      <c r="I33" s="174">
        <v>15</v>
      </c>
      <c r="J33" s="174">
        <v>30</v>
      </c>
      <c r="K33" s="174"/>
      <c r="L33" s="174"/>
      <c r="M33" s="174">
        <v>15</v>
      </c>
      <c r="N33" s="174"/>
      <c r="O33" s="256" t="s">
        <v>404</v>
      </c>
      <c r="P33" s="256"/>
      <c r="Q33" s="257"/>
      <c r="R33" s="257"/>
      <c r="S33" s="257"/>
      <c r="T33" s="257"/>
      <c r="U33" s="257"/>
      <c r="V33" s="257"/>
      <c r="W33" s="257"/>
      <c r="X33" s="257"/>
      <c r="Y33" s="239">
        <v>2.1</v>
      </c>
      <c r="Z33" s="173" t="s">
        <v>404</v>
      </c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</row>
    <row r="34" spans="1:56" s="3" customFormat="1" ht="33" customHeight="1" x14ac:dyDescent="0.25">
      <c r="A34" s="421"/>
      <c r="B34" s="422"/>
      <c r="C34" s="397"/>
      <c r="D34" s="174" t="s">
        <v>62</v>
      </c>
      <c r="E34" s="174" t="s">
        <v>176</v>
      </c>
      <c r="F34" s="175">
        <v>5</v>
      </c>
      <c r="G34" s="176" t="s">
        <v>32</v>
      </c>
      <c r="H34" s="174">
        <v>4</v>
      </c>
      <c r="I34" s="174">
        <v>15</v>
      </c>
      <c r="J34" s="174">
        <v>30</v>
      </c>
      <c r="K34" s="174"/>
      <c r="L34" s="174"/>
      <c r="M34" s="174">
        <v>15</v>
      </c>
      <c r="N34" s="174"/>
      <c r="O34" s="256" t="s">
        <v>423</v>
      </c>
      <c r="P34" s="256"/>
      <c r="Q34" s="257"/>
      <c r="R34" s="257"/>
      <c r="S34" s="257"/>
      <c r="T34" s="257"/>
      <c r="U34" s="257"/>
      <c r="V34" s="257"/>
      <c r="W34" s="257"/>
      <c r="X34" s="257"/>
      <c r="Y34" s="239">
        <v>1.05</v>
      </c>
      <c r="Z34" s="173" t="s">
        <v>423</v>
      </c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</row>
    <row r="35" spans="1:56" s="3" customFormat="1" ht="33" customHeight="1" x14ac:dyDescent="0.25">
      <c r="A35" s="421">
        <v>13</v>
      </c>
      <c r="B35" s="422" t="s">
        <v>227</v>
      </c>
      <c r="C35" s="395" t="s">
        <v>673</v>
      </c>
      <c r="D35" s="174" t="s">
        <v>62</v>
      </c>
      <c r="E35" s="174" t="s">
        <v>121</v>
      </c>
      <c r="F35" s="175">
        <v>4</v>
      </c>
      <c r="G35" s="176" t="s">
        <v>35</v>
      </c>
      <c r="H35" s="174">
        <v>14</v>
      </c>
      <c r="I35" s="174">
        <v>15</v>
      </c>
      <c r="J35" s="174">
        <v>30</v>
      </c>
      <c r="K35" s="174"/>
      <c r="L35" s="174"/>
      <c r="M35" s="174">
        <v>8</v>
      </c>
      <c r="N35" s="174"/>
      <c r="O35" s="256" t="s">
        <v>403</v>
      </c>
      <c r="P35" s="256"/>
      <c r="Q35" s="257"/>
      <c r="R35" s="257"/>
      <c r="S35" s="257"/>
      <c r="T35" s="257"/>
      <c r="U35" s="257"/>
      <c r="V35" s="257"/>
      <c r="W35" s="257"/>
      <c r="X35" s="257"/>
      <c r="Y35" s="239">
        <v>1.9</v>
      </c>
      <c r="Z35" s="173" t="s">
        <v>403</v>
      </c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</row>
    <row r="36" spans="1:56" s="3" customFormat="1" ht="33" customHeight="1" x14ac:dyDescent="0.25">
      <c r="A36" s="421"/>
      <c r="B36" s="422"/>
      <c r="C36" s="397"/>
      <c r="D36" s="174" t="s">
        <v>62</v>
      </c>
      <c r="E36" s="174" t="s">
        <v>176</v>
      </c>
      <c r="F36" s="175">
        <v>4</v>
      </c>
      <c r="G36" s="176" t="s">
        <v>32</v>
      </c>
      <c r="H36" s="174">
        <v>4</v>
      </c>
      <c r="I36" s="174">
        <v>15</v>
      </c>
      <c r="J36" s="174">
        <v>30</v>
      </c>
      <c r="K36" s="174"/>
      <c r="L36" s="174"/>
      <c r="M36" s="174">
        <v>8</v>
      </c>
      <c r="N36" s="174"/>
      <c r="O36" s="256" t="s">
        <v>420</v>
      </c>
      <c r="P36" s="256"/>
      <c r="Q36" s="257"/>
      <c r="R36" s="257"/>
      <c r="S36" s="257"/>
      <c r="T36" s="257"/>
      <c r="U36" s="257"/>
      <c r="V36" s="257"/>
      <c r="W36" s="257"/>
      <c r="X36" s="257"/>
      <c r="Y36" s="239">
        <v>0.95</v>
      </c>
      <c r="Z36" s="173" t="s">
        <v>420</v>
      </c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</row>
    <row r="37" spans="1:56" s="3" customFormat="1" ht="42.75" customHeight="1" x14ac:dyDescent="0.25">
      <c r="A37" s="421">
        <v>14</v>
      </c>
      <c r="B37" s="422" t="s">
        <v>133</v>
      </c>
      <c r="C37" s="395" t="s">
        <v>673</v>
      </c>
      <c r="D37" s="174" t="s">
        <v>62</v>
      </c>
      <c r="E37" s="174" t="s">
        <v>145</v>
      </c>
      <c r="F37" s="176">
        <v>5</v>
      </c>
      <c r="G37" s="176" t="s">
        <v>35</v>
      </c>
      <c r="H37" s="174">
        <v>16</v>
      </c>
      <c r="I37" s="174">
        <v>15</v>
      </c>
      <c r="J37" s="174">
        <v>30</v>
      </c>
      <c r="K37" s="174"/>
      <c r="L37" s="174"/>
      <c r="M37" s="174">
        <v>15</v>
      </c>
      <c r="N37" s="174"/>
      <c r="O37" s="256" t="s">
        <v>418</v>
      </c>
      <c r="P37" s="256"/>
      <c r="Q37" s="257"/>
      <c r="R37" s="257"/>
      <c r="S37" s="257"/>
      <c r="T37" s="257"/>
      <c r="U37" s="257"/>
      <c r="V37" s="257"/>
      <c r="W37" s="257"/>
      <c r="X37" s="257"/>
      <c r="Y37" s="239">
        <v>2.1</v>
      </c>
      <c r="Z37" s="173" t="s">
        <v>418</v>
      </c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</row>
    <row r="38" spans="1:56" s="3" customFormat="1" ht="42.75" customHeight="1" x14ac:dyDescent="0.25">
      <c r="A38" s="421"/>
      <c r="B38" s="422"/>
      <c r="C38" s="397"/>
      <c r="D38" s="174" t="s">
        <v>62</v>
      </c>
      <c r="E38" s="174" t="s">
        <v>220</v>
      </c>
      <c r="F38" s="176">
        <v>5</v>
      </c>
      <c r="G38" s="176" t="s">
        <v>32</v>
      </c>
      <c r="H38" s="174">
        <v>6</v>
      </c>
      <c r="I38" s="174">
        <v>15</v>
      </c>
      <c r="J38" s="174">
        <v>30</v>
      </c>
      <c r="K38" s="174"/>
      <c r="L38" s="174"/>
      <c r="M38" s="174">
        <v>15</v>
      </c>
      <c r="N38" s="174"/>
      <c r="O38" s="256" t="s">
        <v>418</v>
      </c>
      <c r="P38" s="256"/>
      <c r="Q38" s="257"/>
      <c r="R38" s="257"/>
      <c r="S38" s="257"/>
      <c r="T38" s="257"/>
      <c r="U38" s="257"/>
      <c r="V38" s="257"/>
      <c r="W38" s="257"/>
      <c r="X38" s="257"/>
      <c r="Y38" s="239">
        <v>2.1</v>
      </c>
      <c r="Z38" s="173" t="s">
        <v>418</v>
      </c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</row>
    <row r="39" spans="1:56" s="3" customFormat="1" ht="42.75" customHeight="1" x14ac:dyDescent="0.25">
      <c r="A39" s="421">
        <v>15</v>
      </c>
      <c r="B39" s="422" t="s">
        <v>134</v>
      </c>
      <c r="C39" s="395" t="s">
        <v>673</v>
      </c>
      <c r="D39" s="174" t="s">
        <v>62</v>
      </c>
      <c r="E39" s="174" t="s">
        <v>145</v>
      </c>
      <c r="F39" s="174">
        <v>4</v>
      </c>
      <c r="G39" s="176" t="s">
        <v>35</v>
      </c>
      <c r="H39" s="174">
        <v>16</v>
      </c>
      <c r="I39" s="174">
        <v>15</v>
      </c>
      <c r="J39" s="174">
        <v>30</v>
      </c>
      <c r="K39" s="174"/>
      <c r="L39" s="174"/>
      <c r="M39" s="174">
        <v>8</v>
      </c>
      <c r="N39" s="174"/>
      <c r="O39" s="256" t="s">
        <v>403</v>
      </c>
      <c r="P39" s="256"/>
      <c r="Q39" s="257"/>
      <c r="R39" s="257"/>
      <c r="S39" s="257"/>
      <c r="T39" s="257"/>
      <c r="U39" s="257"/>
      <c r="V39" s="257"/>
      <c r="W39" s="257"/>
      <c r="X39" s="257"/>
      <c r="Y39" s="239">
        <v>1.9</v>
      </c>
      <c r="Z39" s="173" t="s">
        <v>403</v>
      </c>
      <c r="AA39" s="173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</row>
    <row r="40" spans="1:56" s="3" customFormat="1" ht="42.75" customHeight="1" x14ac:dyDescent="0.25">
      <c r="A40" s="421"/>
      <c r="B40" s="422"/>
      <c r="C40" s="397"/>
      <c r="D40" s="174" t="s">
        <v>62</v>
      </c>
      <c r="E40" s="174" t="s">
        <v>220</v>
      </c>
      <c r="F40" s="176">
        <v>4</v>
      </c>
      <c r="G40" s="176" t="s">
        <v>32</v>
      </c>
      <c r="H40" s="174">
        <v>6</v>
      </c>
      <c r="I40" s="174">
        <v>15</v>
      </c>
      <c r="J40" s="174">
        <v>30</v>
      </c>
      <c r="K40" s="174"/>
      <c r="L40" s="174"/>
      <c r="M40" s="174">
        <v>8</v>
      </c>
      <c r="N40" s="174"/>
      <c r="O40" s="256" t="s">
        <v>420</v>
      </c>
      <c r="P40" s="256"/>
      <c r="Q40" s="257"/>
      <c r="R40" s="257"/>
      <c r="S40" s="257"/>
      <c r="T40" s="257"/>
      <c r="U40" s="257"/>
      <c r="V40" s="257"/>
      <c r="W40" s="257"/>
      <c r="X40" s="257"/>
      <c r="Y40" s="239">
        <v>1.9</v>
      </c>
      <c r="Z40" s="173" t="s">
        <v>420</v>
      </c>
      <c r="AA40" s="173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</row>
    <row r="41" spans="1:56" s="3" customFormat="1" ht="42.75" customHeight="1" x14ac:dyDescent="0.25">
      <c r="A41" s="421">
        <v>16</v>
      </c>
      <c r="B41" s="422" t="s">
        <v>131</v>
      </c>
      <c r="C41" s="395" t="s">
        <v>673</v>
      </c>
      <c r="D41" s="174" t="s">
        <v>62</v>
      </c>
      <c r="E41" s="174" t="s">
        <v>145</v>
      </c>
      <c r="F41" s="176">
        <v>3</v>
      </c>
      <c r="G41" s="176" t="s">
        <v>35</v>
      </c>
      <c r="H41" s="174">
        <v>16</v>
      </c>
      <c r="I41" s="174">
        <v>15</v>
      </c>
      <c r="J41" s="174">
        <v>15</v>
      </c>
      <c r="K41" s="174"/>
      <c r="L41" s="174"/>
      <c r="M41" s="174">
        <v>7</v>
      </c>
      <c r="N41" s="174"/>
      <c r="O41" s="173" t="s">
        <v>424</v>
      </c>
      <c r="P41" s="173"/>
      <c r="Q41" s="174"/>
      <c r="R41" s="174"/>
      <c r="S41" s="174"/>
      <c r="T41" s="174"/>
      <c r="U41" s="174"/>
      <c r="V41" s="174"/>
      <c r="W41" s="174"/>
      <c r="X41" s="174"/>
      <c r="Y41" s="232">
        <v>1.2</v>
      </c>
      <c r="Z41" s="173" t="s">
        <v>424</v>
      </c>
      <c r="AA41" s="173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</row>
    <row r="42" spans="1:56" s="3" customFormat="1" ht="42.75" customHeight="1" x14ac:dyDescent="0.25">
      <c r="A42" s="421"/>
      <c r="B42" s="422"/>
      <c r="C42" s="397"/>
      <c r="D42" s="174" t="s">
        <v>62</v>
      </c>
      <c r="E42" s="174" t="s">
        <v>220</v>
      </c>
      <c r="F42" s="176">
        <v>3</v>
      </c>
      <c r="G42" s="176" t="s">
        <v>32</v>
      </c>
      <c r="H42" s="174">
        <v>6</v>
      </c>
      <c r="I42" s="174">
        <v>15</v>
      </c>
      <c r="J42" s="174">
        <v>15</v>
      </c>
      <c r="K42" s="174"/>
      <c r="L42" s="174"/>
      <c r="M42" s="174">
        <v>7</v>
      </c>
      <c r="N42" s="174"/>
      <c r="O42" s="173" t="s">
        <v>425</v>
      </c>
      <c r="P42" s="173"/>
      <c r="Q42" s="174"/>
      <c r="R42" s="174"/>
      <c r="S42" s="174"/>
      <c r="T42" s="174"/>
      <c r="U42" s="174"/>
      <c r="V42" s="174"/>
      <c r="W42" s="174"/>
      <c r="X42" s="174"/>
      <c r="Y42" s="232">
        <v>1.2</v>
      </c>
      <c r="Z42" s="173" t="s">
        <v>425</v>
      </c>
      <c r="AA42" s="173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</row>
    <row r="43" spans="1:56" s="3" customFormat="1" ht="42.75" customHeight="1" x14ac:dyDescent="0.25">
      <c r="A43" s="421">
        <v>17</v>
      </c>
      <c r="B43" s="422" t="s">
        <v>146</v>
      </c>
      <c r="C43" s="395" t="s">
        <v>673</v>
      </c>
      <c r="D43" s="174" t="s">
        <v>62</v>
      </c>
      <c r="E43" s="174" t="s">
        <v>145</v>
      </c>
      <c r="F43" s="176">
        <v>5</v>
      </c>
      <c r="G43" s="176" t="s">
        <v>35</v>
      </c>
      <c r="H43" s="174">
        <v>16</v>
      </c>
      <c r="I43" s="174">
        <v>15</v>
      </c>
      <c r="J43" s="174">
        <v>30</v>
      </c>
      <c r="K43" s="174"/>
      <c r="L43" s="174"/>
      <c r="M43" s="174">
        <v>15</v>
      </c>
      <c r="N43" s="174"/>
      <c r="O43" s="256" t="s">
        <v>426</v>
      </c>
      <c r="P43" s="256"/>
      <c r="Q43" s="257"/>
      <c r="R43" s="257"/>
      <c r="S43" s="257"/>
      <c r="T43" s="257"/>
      <c r="U43" s="257"/>
      <c r="V43" s="257"/>
      <c r="W43" s="257"/>
      <c r="X43" s="257"/>
      <c r="Y43" s="239">
        <v>2.1</v>
      </c>
      <c r="Z43" s="173" t="s">
        <v>424</v>
      </c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</row>
    <row r="44" spans="1:56" s="3" customFormat="1" ht="42.75" customHeight="1" x14ac:dyDescent="0.25">
      <c r="A44" s="421"/>
      <c r="B44" s="422"/>
      <c r="C44" s="397"/>
      <c r="D44" s="174" t="s">
        <v>62</v>
      </c>
      <c r="E44" s="174" t="s">
        <v>220</v>
      </c>
      <c r="F44" s="176">
        <v>5</v>
      </c>
      <c r="G44" s="176" t="s">
        <v>32</v>
      </c>
      <c r="H44" s="174">
        <v>6</v>
      </c>
      <c r="I44" s="174">
        <v>15</v>
      </c>
      <c r="J44" s="174">
        <v>30</v>
      </c>
      <c r="K44" s="174"/>
      <c r="L44" s="174"/>
      <c r="M44" s="174">
        <v>15</v>
      </c>
      <c r="N44" s="174"/>
      <c r="O44" s="256" t="s">
        <v>422</v>
      </c>
      <c r="P44" s="256"/>
      <c r="Q44" s="257"/>
      <c r="R44" s="257"/>
      <c r="S44" s="257"/>
      <c r="T44" s="257"/>
      <c r="U44" s="257"/>
      <c r="V44" s="257"/>
      <c r="W44" s="257"/>
      <c r="X44" s="257"/>
      <c r="Y44" s="239">
        <v>2.1</v>
      </c>
      <c r="Z44" s="173" t="s">
        <v>422</v>
      </c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</row>
    <row r="45" spans="1:56" s="3" customFormat="1" ht="42.75" customHeight="1" x14ac:dyDescent="0.25">
      <c r="A45" s="421">
        <v>18</v>
      </c>
      <c r="B45" s="422" t="s">
        <v>132</v>
      </c>
      <c r="C45" s="395" t="s">
        <v>673</v>
      </c>
      <c r="D45" s="174" t="s">
        <v>62</v>
      </c>
      <c r="E45" s="174" t="s">
        <v>145</v>
      </c>
      <c r="F45" s="176">
        <v>5</v>
      </c>
      <c r="G45" s="176" t="s">
        <v>35</v>
      </c>
      <c r="H45" s="174">
        <v>16</v>
      </c>
      <c r="I45" s="174">
        <v>15</v>
      </c>
      <c r="J45" s="174">
        <v>30</v>
      </c>
      <c r="K45" s="174"/>
      <c r="L45" s="174"/>
      <c r="M45" s="174">
        <v>15</v>
      </c>
      <c r="N45" s="174"/>
      <c r="O45" s="256" t="s">
        <v>401</v>
      </c>
      <c r="P45" s="256"/>
      <c r="Q45" s="257"/>
      <c r="R45" s="257"/>
      <c r="S45" s="257"/>
      <c r="T45" s="257"/>
      <c r="U45" s="257"/>
      <c r="V45" s="257"/>
      <c r="W45" s="257"/>
      <c r="X45" s="257"/>
      <c r="Y45" s="239">
        <v>2.1</v>
      </c>
      <c r="Z45" s="173" t="s">
        <v>401</v>
      </c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</row>
    <row r="46" spans="1:56" s="3" customFormat="1" ht="42.75" customHeight="1" x14ac:dyDescent="0.25">
      <c r="A46" s="421"/>
      <c r="B46" s="422"/>
      <c r="C46" s="397"/>
      <c r="D46" s="174" t="s">
        <v>62</v>
      </c>
      <c r="E46" s="174" t="s">
        <v>220</v>
      </c>
      <c r="F46" s="176">
        <v>5</v>
      </c>
      <c r="G46" s="176" t="s">
        <v>32</v>
      </c>
      <c r="H46" s="174">
        <v>6</v>
      </c>
      <c r="I46" s="174">
        <v>15</v>
      </c>
      <c r="J46" s="174">
        <v>30</v>
      </c>
      <c r="K46" s="174"/>
      <c r="L46" s="174"/>
      <c r="M46" s="174">
        <v>15</v>
      </c>
      <c r="N46" s="174"/>
      <c r="O46" s="256" t="s">
        <v>412</v>
      </c>
      <c r="P46" s="256"/>
      <c r="Q46" s="257"/>
      <c r="R46" s="257"/>
      <c r="S46" s="257"/>
      <c r="T46" s="257"/>
      <c r="U46" s="257"/>
      <c r="V46" s="257"/>
      <c r="W46" s="257"/>
      <c r="X46" s="257"/>
      <c r="Y46" s="239">
        <v>2.1</v>
      </c>
      <c r="Z46" s="173" t="s">
        <v>412</v>
      </c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</row>
    <row r="47" spans="1:56" s="3" customFormat="1" ht="27.75" customHeight="1" x14ac:dyDescent="0.3">
      <c r="A47" s="421">
        <v>26</v>
      </c>
      <c r="B47" s="422" t="s">
        <v>115</v>
      </c>
      <c r="C47" s="340"/>
      <c r="D47" s="174" t="s">
        <v>49</v>
      </c>
      <c r="E47" s="174" t="s">
        <v>91</v>
      </c>
      <c r="F47" s="174">
        <v>5</v>
      </c>
      <c r="G47" s="174" t="s">
        <v>35</v>
      </c>
      <c r="H47" s="174">
        <v>22</v>
      </c>
      <c r="I47" s="176">
        <v>15</v>
      </c>
      <c r="J47" s="255">
        <v>30</v>
      </c>
      <c r="K47" s="174"/>
      <c r="L47" s="174"/>
      <c r="M47" s="174">
        <v>15</v>
      </c>
      <c r="N47" s="230"/>
      <c r="O47" s="172" t="s">
        <v>405</v>
      </c>
      <c r="P47" s="258"/>
      <c r="Q47" s="174"/>
      <c r="R47" s="174"/>
      <c r="S47" s="174"/>
      <c r="T47" s="174"/>
      <c r="U47" s="174"/>
      <c r="V47" s="174"/>
      <c r="W47" s="174"/>
      <c r="X47" s="243"/>
      <c r="Y47" s="239">
        <v>2.1</v>
      </c>
      <c r="Z47" s="172" t="s">
        <v>644</v>
      </c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AY47" s="59"/>
      <c r="AZ47" s="59"/>
      <c r="BA47" s="59"/>
      <c r="BB47" s="59"/>
      <c r="BC47" s="59"/>
      <c r="BD47" s="59"/>
    </row>
    <row r="48" spans="1:56" s="3" customFormat="1" ht="27.75" customHeight="1" x14ac:dyDescent="0.3">
      <c r="A48" s="421"/>
      <c r="B48" s="422"/>
      <c r="C48" s="340"/>
      <c r="D48" s="174" t="s">
        <v>49</v>
      </c>
      <c r="E48" s="174" t="s">
        <v>92</v>
      </c>
      <c r="F48" s="174">
        <v>5</v>
      </c>
      <c r="G48" s="174" t="s">
        <v>32</v>
      </c>
      <c r="H48" s="174">
        <v>5</v>
      </c>
      <c r="I48" s="176">
        <v>15</v>
      </c>
      <c r="J48" s="255">
        <v>30</v>
      </c>
      <c r="K48" s="174"/>
      <c r="L48" s="174"/>
      <c r="M48" s="174">
        <v>15</v>
      </c>
      <c r="N48" s="230"/>
      <c r="O48" s="172" t="s">
        <v>405</v>
      </c>
      <c r="P48" s="258"/>
      <c r="Q48" s="174"/>
      <c r="R48" s="174"/>
      <c r="S48" s="174"/>
      <c r="T48" s="174"/>
      <c r="U48" s="174"/>
      <c r="V48" s="174"/>
      <c r="W48" s="174"/>
      <c r="X48" s="243"/>
      <c r="Y48" s="239">
        <v>1.05</v>
      </c>
      <c r="Z48" s="172" t="s">
        <v>645</v>
      </c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59"/>
      <c r="AN48" s="59"/>
      <c r="AO48" s="59"/>
      <c r="AP48" s="59"/>
      <c r="AQ48" s="59"/>
      <c r="AR48" s="59"/>
      <c r="AS48" s="59"/>
      <c r="AT48" s="59"/>
      <c r="AU48" s="59"/>
      <c r="AV48" s="59"/>
      <c r="AW48" s="59"/>
      <c r="AX48" s="59"/>
      <c r="AY48" s="59"/>
      <c r="AZ48" s="59"/>
      <c r="BA48" s="59"/>
      <c r="BB48" s="59"/>
      <c r="BC48" s="59"/>
      <c r="BD48" s="59"/>
    </row>
    <row r="49" spans="1:56" s="3" customFormat="1" ht="41.25" customHeight="1" x14ac:dyDescent="0.3">
      <c r="A49" s="421">
        <v>27</v>
      </c>
      <c r="B49" s="422" t="s">
        <v>222</v>
      </c>
      <c r="C49" s="340"/>
      <c r="D49" s="225" t="s">
        <v>49</v>
      </c>
      <c r="E49" s="176" t="s">
        <v>94</v>
      </c>
      <c r="F49" s="176">
        <v>5</v>
      </c>
      <c r="G49" s="176" t="s">
        <v>35</v>
      </c>
      <c r="H49" s="176">
        <v>27</v>
      </c>
      <c r="I49" s="174">
        <v>15</v>
      </c>
      <c r="J49" s="255">
        <v>30</v>
      </c>
      <c r="K49" s="174"/>
      <c r="L49" s="174"/>
      <c r="M49" s="174">
        <v>15</v>
      </c>
      <c r="N49" s="230"/>
      <c r="O49" s="258" t="s">
        <v>409</v>
      </c>
      <c r="P49" s="258"/>
      <c r="Q49" s="174"/>
      <c r="R49" s="174"/>
      <c r="S49" s="174"/>
      <c r="T49" s="174"/>
      <c r="U49" s="174"/>
      <c r="V49" s="174"/>
      <c r="W49" s="174"/>
      <c r="X49" s="243"/>
      <c r="Y49" s="232">
        <v>2.1</v>
      </c>
      <c r="Z49" s="172" t="s">
        <v>409</v>
      </c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59"/>
      <c r="AM49" s="59"/>
      <c r="AN49" s="59"/>
      <c r="AO49" s="59"/>
      <c r="AP49" s="59"/>
      <c r="AQ49" s="59"/>
      <c r="AR49" s="59"/>
      <c r="AS49" s="59"/>
      <c r="AT49" s="59"/>
      <c r="AU49" s="59"/>
      <c r="AV49" s="59"/>
      <c r="AW49" s="59"/>
      <c r="AX49" s="59"/>
      <c r="AY49" s="59"/>
      <c r="AZ49" s="59"/>
      <c r="BA49" s="59"/>
      <c r="BB49" s="59"/>
      <c r="BC49" s="59"/>
      <c r="BD49" s="59"/>
    </row>
    <row r="50" spans="1:56" s="3" customFormat="1" ht="41.25" customHeight="1" x14ac:dyDescent="0.3">
      <c r="A50" s="421"/>
      <c r="B50" s="422"/>
      <c r="C50" s="340"/>
      <c r="D50" s="225" t="s">
        <v>49</v>
      </c>
      <c r="E50" s="176" t="s">
        <v>288</v>
      </c>
      <c r="F50" s="176">
        <v>5</v>
      </c>
      <c r="G50" s="176" t="s">
        <v>35</v>
      </c>
      <c r="H50" s="176">
        <v>11</v>
      </c>
      <c r="I50" s="174"/>
      <c r="J50" s="255">
        <v>30</v>
      </c>
      <c r="K50" s="174"/>
      <c r="L50" s="174"/>
      <c r="M50" s="174"/>
      <c r="N50" s="230"/>
      <c r="O50" s="258" t="s">
        <v>409</v>
      </c>
      <c r="P50" s="258"/>
      <c r="Q50" s="174"/>
      <c r="R50" s="174"/>
      <c r="S50" s="174"/>
      <c r="T50" s="174"/>
      <c r="U50" s="174"/>
      <c r="V50" s="174"/>
      <c r="W50" s="174"/>
      <c r="X50" s="243"/>
      <c r="Y50" s="232">
        <v>1.1000000000000001</v>
      </c>
      <c r="Z50" s="172" t="s">
        <v>409</v>
      </c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59"/>
      <c r="AN50" s="59"/>
      <c r="AO50" s="59"/>
      <c r="AP50" s="59"/>
      <c r="AQ50" s="59"/>
      <c r="AR50" s="59"/>
      <c r="AS50" s="59"/>
      <c r="AT50" s="59"/>
      <c r="AU50" s="59"/>
      <c r="AV50" s="59"/>
      <c r="AW50" s="59"/>
      <c r="AX50" s="59"/>
      <c r="AY50" s="59"/>
      <c r="AZ50" s="59"/>
      <c r="BA50" s="59"/>
      <c r="BB50" s="59"/>
      <c r="BC50" s="59"/>
      <c r="BD50" s="59"/>
    </row>
    <row r="51" spans="1:56" s="3" customFormat="1" ht="41.25" customHeight="1" x14ac:dyDescent="0.3">
      <c r="A51" s="421"/>
      <c r="B51" s="422"/>
      <c r="C51" s="340"/>
      <c r="D51" s="225" t="s">
        <v>49</v>
      </c>
      <c r="E51" s="176" t="s">
        <v>93</v>
      </c>
      <c r="F51" s="176">
        <v>5</v>
      </c>
      <c r="G51" s="174" t="s">
        <v>32</v>
      </c>
      <c r="H51" s="176">
        <v>14</v>
      </c>
      <c r="I51" s="174">
        <v>15</v>
      </c>
      <c r="J51" s="255">
        <v>30</v>
      </c>
      <c r="K51" s="174"/>
      <c r="L51" s="174"/>
      <c r="M51" s="174">
        <v>15</v>
      </c>
      <c r="N51" s="230"/>
      <c r="O51" s="258" t="s">
        <v>428</v>
      </c>
      <c r="P51" s="258"/>
      <c r="Q51" s="174"/>
      <c r="R51" s="174"/>
      <c r="S51" s="174"/>
      <c r="T51" s="174"/>
      <c r="U51" s="174"/>
      <c r="V51" s="174"/>
      <c r="W51" s="174"/>
      <c r="X51" s="243"/>
      <c r="Y51" s="232">
        <v>2.1</v>
      </c>
      <c r="Z51" s="172" t="s">
        <v>428</v>
      </c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  <c r="AV51" s="59"/>
      <c r="AW51" s="59"/>
      <c r="AX51" s="59"/>
      <c r="AY51" s="59"/>
      <c r="AZ51" s="59"/>
      <c r="BA51" s="59"/>
      <c r="BB51" s="59"/>
      <c r="BC51" s="59"/>
      <c r="BD51" s="59"/>
    </row>
    <row r="52" spans="1:56" s="3" customFormat="1" ht="41.25" customHeight="1" x14ac:dyDescent="0.3">
      <c r="A52" s="421">
        <v>28</v>
      </c>
      <c r="B52" s="422" t="s">
        <v>223</v>
      </c>
      <c r="C52" s="340"/>
      <c r="D52" s="225" t="s">
        <v>49</v>
      </c>
      <c r="E52" s="176" t="s">
        <v>94</v>
      </c>
      <c r="F52" s="176">
        <v>5</v>
      </c>
      <c r="G52" s="176" t="s">
        <v>35</v>
      </c>
      <c r="H52" s="176">
        <v>27</v>
      </c>
      <c r="I52" s="174">
        <v>15</v>
      </c>
      <c r="J52" s="255">
        <v>30</v>
      </c>
      <c r="K52" s="174"/>
      <c r="L52" s="174"/>
      <c r="M52" s="174">
        <v>15</v>
      </c>
      <c r="N52" s="230"/>
      <c r="O52" s="258" t="s">
        <v>408</v>
      </c>
      <c r="P52" s="258"/>
      <c r="Q52" s="174"/>
      <c r="R52" s="174"/>
      <c r="S52" s="174"/>
      <c r="T52" s="174"/>
      <c r="U52" s="174"/>
      <c r="V52" s="174"/>
      <c r="W52" s="174"/>
      <c r="X52" s="243"/>
      <c r="Y52" s="232">
        <v>2.1</v>
      </c>
      <c r="Z52" s="172" t="s">
        <v>408</v>
      </c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59"/>
      <c r="AV52" s="59"/>
      <c r="AW52" s="59"/>
      <c r="AX52" s="59"/>
      <c r="AY52" s="59"/>
      <c r="AZ52" s="59"/>
      <c r="BA52" s="59"/>
      <c r="BB52" s="59"/>
      <c r="BC52" s="59"/>
      <c r="BD52" s="59"/>
    </row>
    <row r="53" spans="1:56" s="3" customFormat="1" ht="41.25" customHeight="1" x14ac:dyDescent="0.3">
      <c r="A53" s="421"/>
      <c r="B53" s="422"/>
      <c r="C53" s="340"/>
      <c r="D53" s="225" t="s">
        <v>49</v>
      </c>
      <c r="E53" s="176" t="s">
        <v>288</v>
      </c>
      <c r="F53" s="176">
        <v>5</v>
      </c>
      <c r="G53" s="176" t="s">
        <v>35</v>
      </c>
      <c r="H53" s="176">
        <v>11</v>
      </c>
      <c r="I53" s="174"/>
      <c r="J53" s="255">
        <v>30</v>
      </c>
      <c r="K53" s="174"/>
      <c r="L53" s="174"/>
      <c r="M53" s="174"/>
      <c r="N53" s="230"/>
      <c r="O53" s="258" t="s">
        <v>408</v>
      </c>
      <c r="P53" s="258"/>
      <c r="Q53" s="174"/>
      <c r="R53" s="174"/>
      <c r="S53" s="174"/>
      <c r="T53" s="174"/>
      <c r="U53" s="174"/>
      <c r="V53" s="174"/>
      <c r="W53" s="174"/>
      <c r="X53" s="243"/>
      <c r="Y53" s="232">
        <v>1.1000000000000001</v>
      </c>
      <c r="Z53" s="172" t="s">
        <v>408</v>
      </c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/>
      <c r="AP53" s="59"/>
      <c r="AQ53" s="59"/>
      <c r="AR53" s="59"/>
      <c r="AS53" s="59"/>
      <c r="AT53" s="59"/>
      <c r="AU53" s="59"/>
      <c r="AV53" s="59"/>
      <c r="AW53" s="59"/>
      <c r="AX53" s="59"/>
      <c r="AY53" s="59"/>
      <c r="AZ53" s="59"/>
      <c r="BA53" s="59"/>
      <c r="BB53" s="59"/>
      <c r="BC53" s="59"/>
      <c r="BD53" s="59"/>
    </row>
    <row r="54" spans="1:56" s="3" customFormat="1" ht="27.75" customHeight="1" x14ac:dyDescent="0.3">
      <c r="A54" s="421"/>
      <c r="B54" s="422"/>
      <c r="C54" s="340"/>
      <c r="D54" s="225" t="s">
        <v>49</v>
      </c>
      <c r="E54" s="176" t="s">
        <v>93</v>
      </c>
      <c r="F54" s="176">
        <v>5</v>
      </c>
      <c r="G54" s="174" t="s">
        <v>32</v>
      </c>
      <c r="H54" s="176">
        <v>14</v>
      </c>
      <c r="I54" s="174">
        <v>15</v>
      </c>
      <c r="J54" s="255">
        <v>30</v>
      </c>
      <c r="K54" s="174"/>
      <c r="L54" s="174"/>
      <c r="M54" s="174">
        <v>15</v>
      </c>
      <c r="N54" s="230"/>
      <c r="O54" s="258" t="s">
        <v>427</v>
      </c>
      <c r="P54" s="258"/>
      <c r="Q54" s="174"/>
      <c r="R54" s="174"/>
      <c r="S54" s="174"/>
      <c r="T54" s="174"/>
      <c r="U54" s="174"/>
      <c r="V54" s="174"/>
      <c r="W54" s="174"/>
      <c r="X54" s="243"/>
      <c r="Y54" s="232">
        <v>2.1</v>
      </c>
      <c r="Z54" s="172" t="s">
        <v>427</v>
      </c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59"/>
      <c r="AV54" s="59"/>
      <c r="AW54" s="59"/>
      <c r="AX54" s="59"/>
      <c r="AY54" s="59"/>
      <c r="AZ54" s="59"/>
      <c r="BA54" s="59"/>
      <c r="BB54" s="59"/>
      <c r="BC54" s="59"/>
      <c r="BD54" s="59"/>
    </row>
    <row r="55" spans="1:56" s="3" customFormat="1" ht="27.75" customHeight="1" x14ac:dyDescent="0.3">
      <c r="A55" s="421">
        <v>29</v>
      </c>
      <c r="B55" s="422" t="s">
        <v>224</v>
      </c>
      <c r="C55" s="340"/>
      <c r="D55" s="225" t="s">
        <v>49</v>
      </c>
      <c r="E55" s="176" t="s">
        <v>94</v>
      </c>
      <c r="F55" s="176">
        <v>5</v>
      </c>
      <c r="G55" s="176" t="s">
        <v>35</v>
      </c>
      <c r="H55" s="176">
        <v>27</v>
      </c>
      <c r="I55" s="174">
        <v>15</v>
      </c>
      <c r="J55" s="255">
        <v>30</v>
      </c>
      <c r="K55" s="174"/>
      <c r="L55" s="174"/>
      <c r="M55" s="174">
        <v>15</v>
      </c>
      <c r="N55" s="230"/>
      <c r="O55" s="258" t="s">
        <v>429</v>
      </c>
      <c r="P55" s="258"/>
      <c r="Q55" s="174"/>
      <c r="R55" s="174"/>
      <c r="S55" s="174"/>
      <c r="T55" s="174"/>
      <c r="U55" s="174"/>
      <c r="V55" s="174"/>
      <c r="W55" s="174"/>
      <c r="X55" s="243"/>
      <c r="Y55" s="232">
        <v>2.1</v>
      </c>
      <c r="Z55" s="172" t="s">
        <v>429</v>
      </c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  <c r="AV55" s="59"/>
      <c r="AW55" s="59"/>
      <c r="AX55" s="59"/>
      <c r="AY55" s="59"/>
      <c r="AZ55" s="59"/>
      <c r="BA55" s="59"/>
      <c r="BB55" s="59"/>
      <c r="BC55" s="59"/>
      <c r="BD55" s="59"/>
    </row>
    <row r="56" spans="1:56" s="3" customFormat="1" ht="27.75" customHeight="1" x14ac:dyDescent="0.3">
      <c r="A56" s="421"/>
      <c r="B56" s="422"/>
      <c r="C56" s="340"/>
      <c r="D56" s="225" t="s">
        <v>49</v>
      </c>
      <c r="E56" s="176" t="s">
        <v>288</v>
      </c>
      <c r="F56" s="176">
        <v>5</v>
      </c>
      <c r="G56" s="176" t="s">
        <v>35</v>
      </c>
      <c r="H56" s="176">
        <v>11</v>
      </c>
      <c r="I56" s="174"/>
      <c r="J56" s="255">
        <v>30</v>
      </c>
      <c r="K56" s="174"/>
      <c r="L56" s="174"/>
      <c r="M56" s="174"/>
      <c r="N56" s="230"/>
      <c r="O56" s="258" t="s">
        <v>429</v>
      </c>
      <c r="P56" s="258"/>
      <c r="Q56" s="174"/>
      <c r="R56" s="174"/>
      <c r="S56" s="174"/>
      <c r="T56" s="174"/>
      <c r="U56" s="174"/>
      <c r="V56" s="174"/>
      <c r="W56" s="174"/>
      <c r="X56" s="243"/>
      <c r="Y56" s="232">
        <v>1.1000000000000001</v>
      </c>
      <c r="Z56" s="172" t="s">
        <v>429</v>
      </c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59"/>
      <c r="AP56" s="59"/>
      <c r="AQ56" s="59"/>
      <c r="AR56" s="59"/>
      <c r="AS56" s="59"/>
      <c r="AT56" s="59"/>
      <c r="AU56" s="59"/>
      <c r="AV56" s="59"/>
      <c r="AW56" s="59"/>
      <c r="AX56" s="59"/>
      <c r="AY56" s="59"/>
      <c r="AZ56" s="59"/>
      <c r="BA56" s="59"/>
      <c r="BB56" s="59"/>
      <c r="BC56" s="59"/>
      <c r="BD56" s="59"/>
    </row>
    <row r="57" spans="1:56" s="3" customFormat="1" ht="27.75" customHeight="1" x14ac:dyDescent="0.3">
      <c r="A57" s="421"/>
      <c r="B57" s="422"/>
      <c r="C57" s="340"/>
      <c r="D57" s="225" t="s">
        <v>49</v>
      </c>
      <c r="E57" s="176" t="s">
        <v>93</v>
      </c>
      <c r="F57" s="176">
        <v>5</v>
      </c>
      <c r="G57" s="174" t="s">
        <v>32</v>
      </c>
      <c r="H57" s="176">
        <v>14</v>
      </c>
      <c r="I57" s="174">
        <v>15</v>
      </c>
      <c r="J57" s="255">
        <v>30</v>
      </c>
      <c r="K57" s="174"/>
      <c r="L57" s="174"/>
      <c r="M57" s="174">
        <v>15</v>
      </c>
      <c r="N57" s="230"/>
      <c r="O57" s="258" t="s">
        <v>430</v>
      </c>
      <c r="P57" s="258"/>
      <c r="Q57" s="174"/>
      <c r="R57" s="174"/>
      <c r="S57" s="174"/>
      <c r="T57" s="174"/>
      <c r="U57" s="174"/>
      <c r="V57" s="174"/>
      <c r="W57" s="174"/>
      <c r="X57" s="243"/>
      <c r="Y57" s="232">
        <v>2.1</v>
      </c>
      <c r="Z57" s="172" t="s">
        <v>430</v>
      </c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  <c r="AN57" s="59"/>
      <c r="AO57" s="59"/>
      <c r="AP57" s="59"/>
      <c r="AQ57" s="59"/>
      <c r="AR57" s="59"/>
      <c r="AS57" s="59"/>
      <c r="AT57" s="59"/>
      <c r="AU57" s="59"/>
      <c r="AV57" s="59"/>
      <c r="AW57" s="59"/>
      <c r="AX57" s="59"/>
      <c r="AY57" s="59"/>
      <c r="AZ57" s="59"/>
      <c r="BA57" s="59"/>
      <c r="BB57" s="59"/>
      <c r="BC57" s="59"/>
      <c r="BD57" s="59"/>
    </row>
    <row r="58" spans="1:56" s="3" customFormat="1" ht="27.75" customHeight="1" x14ac:dyDescent="0.3">
      <c r="A58" s="421">
        <v>30</v>
      </c>
      <c r="B58" s="422" t="s">
        <v>225</v>
      </c>
      <c r="C58" s="340"/>
      <c r="D58" s="225" t="s">
        <v>49</v>
      </c>
      <c r="E58" s="176" t="s">
        <v>94</v>
      </c>
      <c r="F58" s="176">
        <v>5</v>
      </c>
      <c r="G58" s="176" t="s">
        <v>35</v>
      </c>
      <c r="H58" s="176">
        <v>27</v>
      </c>
      <c r="I58" s="174">
        <v>15</v>
      </c>
      <c r="J58" s="255">
        <v>30</v>
      </c>
      <c r="K58" s="174"/>
      <c r="L58" s="174"/>
      <c r="M58" s="174">
        <v>15</v>
      </c>
      <c r="N58" s="230"/>
      <c r="O58" s="172" t="s">
        <v>407</v>
      </c>
      <c r="P58" s="258"/>
      <c r="Q58" s="174"/>
      <c r="R58" s="174"/>
      <c r="S58" s="174"/>
      <c r="T58" s="174"/>
      <c r="U58" s="174"/>
      <c r="V58" s="174"/>
      <c r="W58" s="174"/>
      <c r="X58" s="243"/>
      <c r="Y58" s="232">
        <v>2.1</v>
      </c>
      <c r="Z58" s="172" t="s">
        <v>429</v>
      </c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  <c r="AN58" s="59"/>
      <c r="AO58" s="59"/>
      <c r="AP58" s="59"/>
      <c r="AQ58" s="59"/>
      <c r="AR58" s="59"/>
      <c r="AS58" s="59"/>
      <c r="AT58" s="59"/>
      <c r="AU58" s="59"/>
      <c r="AV58" s="59"/>
      <c r="AW58" s="59"/>
      <c r="AX58" s="59"/>
      <c r="AY58" s="59"/>
      <c r="AZ58" s="59"/>
      <c r="BA58" s="59"/>
      <c r="BB58" s="59"/>
      <c r="BC58" s="59"/>
      <c r="BD58" s="59"/>
    </row>
    <row r="59" spans="1:56" s="3" customFormat="1" ht="27.75" customHeight="1" x14ac:dyDescent="0.3">
      <c r="A59" s="421"/>
      <c r="B59" s="422"/>
      <c r="C59" s="340"/>
      <c r="D59" s="225" t="s">
        <v>49</v>
      </c>
      <c r="E59" s="176" t="s">
        <v>288</v>
      </c>
      <c r="F59" s="176">
        <v>5</v>
      </c>
      <c r="G59" s="176" t="s">
        <v>35</v>
      </c>
      <c r="H59" s="176">
        <v>11</v>
      </c>
      <c r="I59" s="174"/>
      <c r="J59" s="255">
        <v>30</v>
      </c>
      <c r="K59" s="174"/>
      <c r="L59" s="174"/>
      <c r="M59" s="174"/>
      <c r="N59" s="230"/>
      <c r="O59" s="172" t="s">
        <v>407</v>
      </c>
      <c r="P59" s="258"/>
      <c r="Q59" s="174"/>
      <c r="R59" s="174"/>
      <c r="S59" s="174"/>
      <c r="T59" s="174"/>
      <c r="U59" s="174"/>
      <c r="V59" s="174"/>
      <c r="W59" s="174"/>
      <c r="X59" s="243"/>
      <c r="Y59" s="232">
        <v>1.1000000000000001</v>
      </c>
      <c r="Z59" s="172" t="s">
        <v>429</v>
      </c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9"/>
      <c r="AN59" s="59"/>
      <c r="AO59" s="59"/>
      <c r="AP59" s="59"/>
      <c r="AQ59" s="59"/>
      <c r="AR59" s="59"/>
      <c r="AS59" s="59"/>
      <c r="AT59" s="59"/>
      <c r="AU59" s="59"/>
      <c r="AV59" s="59"/>
      <c r="AW59" s="59"/>
      <c r="AX59" s="59"/>
      <c r="AY59" s="59"/>
      <c r="AZ59" s="59"/>
      <c r="BA59" s="59"/>
      <c r="BB59" s="59"/>
      <c r="BC59" s="59"/>
      <c r="BD59" s="59"/>
    </row>
    <row r="60" spans="1:56" s="3" customFormat="1" ht="27.75" customHeight="1" x14ac:dyDescent="0.3">
      <c r="A60" s="421"/>
      <c r="B60" s="422"/>
      <c r="C60" s="340"/>
      <c r="D60" s="225" t="s">
        <v>49</v>
      </c>
      <c r="E60" s="176" t="s">
        <v>93</v>
      </c>
      <c r="F60" s="176">
        <v>5</v>
      </c>
      <c r="G60" s="174" t="s">
        <v>32</v>
      </c>
      <c r="H60" s="176">
        <v>14</v>
      </c>
      <c r="I60" s="174">
        <v>15</v>
      </c>
      <c r="J60" s="255">
        <v>30</v>
      </c>
      <c r="K60" s="174"/>
      <c r="L60" s="174"/>
      <c r="M60" s="174">
        <v>15</v>
      </c>
      <c r="N60" s="230"/>
      <c r="O60" s="258" t="s">
        <v>413</v>
      </c>
      <c r="P60" s="258"/>
      <c r="Q60" s="174"/>
      <c r="R60" s="174"/>
      <c r="S60" s="174"/>
      <c r="T60" s="174"/>
      <c r="U60" s="174"/>
      <c r="V60" s="174"/>
      <c r="W60" s="174"/>
      <c r="X60" s="243"/>
      <c r="Y60" s="232">
        <v>2.1</v>
      </c>
      <c r="Z60" s="172" t="s">
        <v>413</v>
      </c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59"/>
      <c r="AL60" s="59"/>
      <c r="AM60" s="59"/>
      <c r="AN60" s="59"/>
      <c r="AO60" s="59"/>
      <c r="AP60" s="59"/>
      <c r="AQ60" s="59"/>
      <c r="AR60" s="59"/>
      <c r="AS60" s="59"/>
      <c r="AT60" s="59"/>
      <c r="AU60" s="59"/>
      <c r="AV60" s="59"/>
      <c r="AW60" s="59"/>
      <c r="AX60" s="59"/>
      <c r="AY60" s="59"/>
      <c r="AZ60" s="59"/>
      <c r="BA60" s="59"/>
      <c r="BB60" s="59"/>
      <c r="BC60" s="59"/>
      <c r="BD60" s="59"/>
    </row>
    <row r="61" spans="1:56" s="3" customFormat="1" ht="27.75" customHeight="1" x14ac:dyDescent="0.3">
      <c r="A61" s="421">
        <v>33</v>
      </c>
      <c r="B61" s="423" t="s">
        <v>171</v>
      </c>
      <c r="C61" s="341"/>
      <c r="D61" s="174" t="s">
        <v>49</v>
      </c>
      <c r="E61" s="174" t="s">
        <v>91</v>
      </c>
      <c r="F61" s="174">
        <v>5</v>
      </c>
      <c r="G61" s="174" t="s">
        <v>35</v>
      </c>
      <c r="H61" s="174">
        <v>22</v>
      </c>
      <c r="I61" s="176">
        <v>15</v>
      </c>
      <c r="J61" s="255">
        <v>30</v>
      </c>
      <c r="K61" s="174"/>
      <c r="L61" s="174"/>
      <c r="M61" s="174">
        <v>15</v>
      </c>
      <c r="N61" s="230"/>
      <c r="O61" s="172" t="s">
        <v>405</v>
      </c>
      <c r="P61" s="258"/>
      <c r="Q61" s="174"/>
      <c r="R61" s="174"/>
      <c r="S61" s="174"/>
      <c r="T61" s="174"/>
      <c r="U61" s="174"/>
      <c r="V61" s="174"/>
      <c r="W61" s="174"/>
      <c r="X61" s="243"/>
      <c r="Y61" s="239">
        <v>2.1</v>
      </c>
      <c r="Z61" s="172" t="s">
        <v>644</v>
      </c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  <c r="AN61" s="59"/>
      <c r="AO61" s="59"/>
      <c r="AP61" s="59"/>
      <c r="AQ61" s="59"/>
      <c r="AR61" s="59"/>
      <c r="AS61" s="59"/>
      <c r="AT61" s="59"/>
      <c r="AU61" s="59"/>
      <c r="AV61" s="59"/>
      <c r="AW61" s="59"/>
      <c r="AX61" s="59"/>
      <c r="AY61" s="59"/>
      <c r="AZ61" s="59"/>
      <c r="BA61" s="59"/>
      <c r="BB61" s="59"/>
      <c r="BC61" s="59"/>
      <c r="BD61" s="59"/>
    </row>
    <row r="62" spans="1:56" s="3" customFormat="1" ht="27.75" customHeight="1" x14ac:dyDescent="0.3">
      <c r="A62" s="421"/>
      <c r="B62" s="423"/>
      <c r="C62" s="341"/>
      <c r="D62" s="174" t="s">
        <v>49</v>
      </c>
      <c r="E62" s="174" t="s">
        <v>92</v>
      </c>
      <c r="F62" s="174">
        <v>5</v>
      </c>
      <c r="G62" s="174" t="s">
        <v>32</v>
      </c>
      <c r="H62" s="174">
        <v>5</v>
      </c>
      <c r="I62" s="176">
        <v>15</v>
      </c>
      <c r="J62" s="255">
        <v>30</v>
      </c>
      <c r="K62" s="174"/>
      <c r="L62" s="174"/>
      <c r="M62" s="174">
        <v>15</v>
      </c>
      <c r="N62" s="230"/>
      <c r="O62" s="258" t="s">
        <v>435</v>
      </c>
      <c r="P62" s="258"/>
      <c r="Q62" s="174"/>
      <c r="R62" s="174"/>
      <c r="S62" s="174"/>
      <c r="T62" s="174"/>
      <c r="U62" s="174"/>
      <c r="V62" s="174"/>
      <c r="W62" s="174"/>
      <c r="X62" s="243"/>
      <c r="Y62" s="239">
        <v>1.05</v>
      </c>
      <c r="Z62" s="172" t="s">
        <v>435</v>
      </c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59"/>
      <c r="AP62" s="59"/>
      <c r="AQ62" s="59"/>
      <c r="AR62" s="59"/>
      <c r="AS62" s="59"/>
      <c r="AT62" s="59"/>
      <c r="AU62" s="59"/>
      <c r="AV62" s="59"/>
      <c r="AW62" s="59"/>
      <c r="AX62" s="59"/>
      <c r="AY62" s="59"/>
      <c r="AZ62" s="59"/>
      <c r="BA62" s="59"/>
      <c r="BB62" s="59"/>
      <c r="BC62" s="59"/>
      <c r="BD62" s="59"/>
    </row>
    <row r="63" spans="1:56" s="3" customFormat="1" ht="27.75" customHeight="1" x14ac:dyDescent="0.3">
      <c r="A63" s="421">
        <v>34</v>
      </c>
      <c r="B63" s="423" t="s">
        <v>172</v>
      </c>
      <c r="C63" s="341"/>
      <c r="D63" s="174" t="s">
        <v>49</v>
      </c>
      <c r="E63" s="174" t="s">
        <v>91</v>
      </c>
      <c r="F63" s="174">
        <v>5</v>
      </c>
      <c r="G63" s="174" t="s">
        <v>35</v>
      </c>
      <c r="H63" s="174">
        <v>22</v>
      </c>
      <c r="I63" s="176">
        <v>15</v>
      </c>
      <c r="J63" s="255">
        <v>30</v>
      </c>
      <c r="K63" s="174"/>
      <c r="L63" s="174"/>
      <c r="M63" s="174">
        <v>15</v>
      </c>
      <c r="N63" s="230"/>
      <c r="O63" s="258" t="s">
        <v>410</v>
      </c>
      <c r="P63" s="258"/>
      <c r="Q63" s="174"/>
      <c r="R63" s="174"/>
      <c r="S63" s="174"/>
      <c r="T63" s="174"/>
      <c r="U63" s="174"/>
      <c r="V63" s="174"/>
      <c r="W63" s="174"/>
      <c r="X63" s="243"/>
      <c r="Y63" s="239">
        <v>2.1</v>
      </c>
      <c r="Z63" s="172" t="s">
        <v>410</v>
      </c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  <c r="AN63" s="59"/>
      <c r="AO63" s="59"/>
      <c r="AP63" s="59"/>
      <c r="AQ63" s="59"/>
      <c r="AR63" s="59"/>
      <c r="AS63" s="59"/>
      <c r="AT63" s="59"/>
      <c r="AU63" s="59"/>
      <c r="AV63" s="59"/>
      <c r="AW63" s="59"/>
      <c r="AX63" s="59"/>
      <c r="AY63" s="59"/>
      <c r="AZ63" s="59"/>
      <c r="BA63" s="59"/>
      <c r="BB63" s="59"/>
      <c r="BC63" s="59"/>
      <c r="BD63" s="59"/>
    </row>
    <row r="64" spans="1:56" s="3" customFormat="1" ht="27.75" customHeight="1" x14ac:dyDescent="0.3">
      <c r="A64" s="421"/>
      <c r="B64" s="423"/>
      <c r="C64" s="341"/>
      <c r="D64" s="174" t="s">
        <v>49</v>
      </c>
      <c r="E64" s="174" t="s">
        <v>92</v>
      </c>
      <c r="F64" s="174">
        <v>5</v>
      </c>
      <c r="G64" s="174" t="s">
        <v>32</v>
      </c>
      <c r="H64" s="174">
        <v>5</v>
      </c>
      <c r="I64" s="176">
        <v>15</v>
      </c>
      <c r="J64" s="255">
        <v>30</v>
      </c>
      <c r="K64" s="174"/>
      <c r="L64" s="174"/>
      <c r="M64" s="174">
        <v>15</v>
      </c>
      <c r="N64" s="230"/>
      <c r="O64" s="258" t="s">
        <v>416</v>
      </c>
      <c r="P64" s="258"/>
      <c r="Q64" s="174"/>
      <c r="R64" s="174"/>
      <c r="S64" s="174"/>
      <c r="T64" s="174"/>
      <c r="U64" s="174"/>
      <c r="V64" s="174"/>
      <c r="W64" s="174"/>
      <c r="X64" s="243"/>
      <c r="Y64" s="239">
        <v>1.05</v>
      </c>
      <c r="Z64" s="172" t="s">
        <v>416</v>
      </c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9"/>
      <c r="AN64" s="59"/>
      <c r="AO64" s="59"/>
      <c r="AP64" s="59"/>
      <c r="AQ64" s="59"/>
      <c r="AR64" s="59"/>
      <c r="AS64" s="59"/>
      <c r="AT64" s="59"/>
      <c r="AU64" s="59"/>
      <c r="AV64" s="59"/>
      <c r="AW64" s="59"/>
      <c r="AX64" s="59"/>
      <c r="AY64" s="59"/>
      <c r="AZ64" s="59"/>
      <c r="BA64" s="59"/>
      <c r="BB64" s="59"/>
      <c r="BC64" s="59"/>
      <c r="BD64" s="59"/>
    </row>
    <row r="65" spans="1:56" s="3" customFormat="1" ht="25.5" customHeight="1" x14ac:dyDescent="0.3">
      <c r="A65" s="421">
        <v>35</v>
      </c>
      <c r="B65" s="423" t="s">
        <v>120</v>
      </c>
      <c r="C65" s="341"/>
      <c r="D65" s="225" t="s">
        <v>49</v>
      </c>
      <c r="E65" s="176" t="s">
        <v>94</v>
      </c>
      <c r="F65" s="176">
        <v>5</v>
      </c>
      <c r="G65" s="176" t="s">
        <v>35</v>
      </c>
      <c r="H65" s="176">
        <v>27</v>
      </c>
      <c r="I65" s="174">
        <v>15</v>
      </c>
      <c r="J65" s="255">
        <v>23</v>
      </c>
      <c r="K65" s="174">
        <v>7</v>
      </c>
      <c r="L65" s="174"/>
      <c r="M65" s="174">
        <v>15</v>
      </c>
      <c r="N65" s="230"/>
      <c r="O65" s="172" t="s">
        <v>405</v>
      </c>
      <c r="P65" s="258"/>
      <c r="Q65" s="174"/>
      <c r="R65" s="174"/>
      <c r="S65" s="174"/>
      <c r="T65" s="174"/>
      <c r="U65" s="174"/>
      <c r="V65" s="174"/>
      <c r="W65" s="174"/>
      <c r="X65" s="243"/>
      <c r="Y65" s="239">
        <v>2.1</v>
      </c>
      <c r="Z65" s="172" t="s">
        <v>644</v>
      </c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9"/>
      <c r="AN65" s="59"/>
      <c r="AO65" s="59"/>
      <c r="AP65" s="59"/>
      <c r="AQ65" s="59"/>
      <c r="AR65" s="59"/>
      <c r="AS65" s="59"/>
      <c r="AT65" s="59"/>
      <c r="AU65" s="59"/>
      <c r="AV65" s="59"/>
      <c r="AW65" s="59"/>
      <c r="AX65" s="59"/>
      <c r="AY65" s="59"/>
      <c r="AZ65" s="59"/>
      <c r="BA65" s="59"/>
      <c r="BB65" s="59"/>
      <c r="BC65" s="59"/>
      <c r="BD65" s="59"/>
    </row>
    <row r="66" spans="1:56" s="3" customFormat="1" ht="25.5" customHeight="1" x14ac:dyDescent="0.3">
      <c r="A66" s="421"/>
      <c r="B66" s="423"/>
      <c r="C66" s="341"/>
      <c r="D66" s="225" t="s">
        <v>49</v>
      </c>
      <c r="E66" s="176" t="s">
        <v>94</v>
      </c>
      <c r="F66" s="176">
        <v>5</v>
      </c>
      <c r="G66" s="176" t="s">
        <v>35</v>
      </c>
      <c r="H66" s="176"/>
      <c r="I66" s="174"/>
      <c r="J66" s="255"/>
      <c r="K66" s="174">
        <v>7</v>
      </c>
      <c r="L66" s="174"/>
      <c r="M66" s="174"/>
      <c r="N66" s="230"/>
      <c r="O66" s="172" t="s">
        <v>405</v>
      </c>
      <c r="P66" s="258"/>
      <c r="Q66" s="174"/>
      <c r="R66" s="174"/>
      <c r="S66" s="174"/>
      <c r="T66" s="174"/>
      <c r="U66" s="174"/>
      <c r="V66" s="174"/>
      <c r="W66" s="174"/>
      <c r="X66" s="243"/>
      <c r="Y66" s="239">
        <v>0.23</v>
      </c>
      <c r="Z66" s="172" t="s">
        <v>644</v>
      </c>
      <c r="AA66" s="59"/>
      <c r="AB66" s="59"/>
      <c r="AC66" s="59"/>
      <c r="AD66" s="59"/>
      <c r="AE66" s="59"/>
      <c r="AF66" s="59"/>
      <c r="AG66" s="59"/>
      <c r="AH66" s="59"/>
      <c r="AI66" s="59"/>
      <c r="AJ66" s="59"/>
      <c r="AK66" s="59"/>
      <c r="AL66" s="59"/>
      <c r="AM66" s="59"/>
      <c r="AN66" s="59"/>
      <c r="AO66" s="59"/>
      <c r="AP66" s="59"/>
      <c r="AQ66" s="59"/>
      <c r="AR66" s="59"/>
      <c r="AS66" s="59"/>
      <c r="AT66" s="59"/>
      <c r="AU66" s="59"/>
      <c r="AV66" s="59"/>
      <c r="AW66" s="59"/>
      <c r="AX66" s="59"/>
      <c r="AY66" s="59"/>
      <c r="AZ66" s="59"/>
      <c r="BA66" s="59"/>
      <c r="BB66" s="59"/>
      <c r="BC66" s="59"/>
      <c r="BD66" s="59"/>
    </row>
    <row r="67" spans="1:56" s="3" customFormat="1" ht="25.5" customHeight="1" x14ac:dyDescent="0.3">
      <c r="A67" s="421"/>
      <c r="B67" s="423"/>
      <c r="C67" s="341"/>
      <c r="D67" s="225" t="s">
        <v>49</v>
      </c>
      <c r="E67" s="176" t="s">
        <v>288</v>
      </c>
      <c r="F67" s="176">
        <v>5</v>
      </c>
      <c r="G67" s="176" t="s">
        <v>35</v>
      </c>
      <c r="H67" s="176">
        <v>11</v>
      </c>
      <c r="I67" s="174"/>
      <c r="J67" s="255">
        <v>23</v>
      </c>
      <c r="K67" s="174">
        <v>7</v>
      </c>
      <c r="L67" s="174"/>
      <c r="M67" s="174"/>
      <c r="N67" s="230"/>
      <c r="O67" s="172" t="s">
        <v>405</v>
      </c>
      <c r="P67" s="258"/>
      <c r="Q67" s="174"/>
      <c r="R67" s="174"/>
      <c r="S67" s="174"/>
      <c r="T67" s="174"/>
      <c r="U67" s="174"/>
      <c r="V67" s="174"/>
      <c r="W67" s="174"/>
      <c r="X67" s="243"/>
      <c r="Y67" s="232">
        <v>1.1000000000000001</v>
      </c>
      <c r="Z67" s="172" t="s">
        <v>644</v>
      </c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9"/>
      <c r="AN67" s="59"/>
      <c r="AO67" s="59"/>
      <c r="AP67" s="59"/>
      <c r="AQ67" s="59"/>
      <c r="AR67" s="59"/>
      <c r="AS67" s="59"/>
      <c r="AT67" s="59"/>
      <c r="AU67" s="59"/>
      <c r="AV67" s="59"/>
      <c r="AW67" s="59"/>
      <c r="AX67" s="59"/>
      <c r="AY67" s="59"/>
      <c r="AZ67" s="59"/>
      <c r="BA67" s="59"/>
      <c r="BB67" s="59"/>
      <c r="BC67" s="59"/>
      <c r="BD67" s="59"/>
    </row>
    <row r="68" spans="1:56" s="3" customFormat="1" ht="25.5" customHeight="1" x14ac:dyDescent="0.3">
      <c r="A68" s="421"/>
      <c r="B68" s="423"/>
      <c r="C68" s="341"/>
      <c r="D68" s="225" t="s">
        <v>49</v>
      </c>
      <c r="E68" s="176" t="s">
        <v>93</v>
      </c>
      <c r="F68" s="176">
        <v>5</v>
      </c>
      <c r="G68" s="176" t="s">
        <v>32</v>
      </c>
      <c r="H68" s="176">
        <v>14</v>
      </c>
      <c r="I68" s="174">
        <v>15</v>
      </c>
      <c r="J68" s="255">
        <v>23</v>
      </c>
      <c r="K68" s="174">
        <v>7</v>
      </c>
      <c r="L68" s="174"/>
      <c r="M68" s="174">
        <v>15</v>
      </c>
      <c r="N68" s="230"/>
      <c r="O68" s="258" t="s">
        <v>437</v>
      </c>
      <c r="P68" s="258"/>
      <c r="Q68" s="174"/>
      <c r="R68" s="174"/>
      <c r="S68" s="174"/>
      <c r="T68" s="174"/>
      <c r="U68" s="174"/>
      <c r="V68" s="174"/>
      <c r="W68" s="174"/>
      <c r="X68" s="243"/>
      <c r="Y68" s="239">
        <v>2.1</v>
      </c>
      <c r="Z68" s="172" t="s">
        <v>646</v>
      </c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59"/>
      <c r="AN68" s="59"/>
      <c r="AO68" s="59"/>
      <c r="AP68" s="59"/>
      <c r="AQ68" s="59"/>
      <c r="AR68" s="59"/>
      <c r="AS68" s="59"/>
      <c r="AT68" s="59"/>
      <c r="AU68" s="59"/>
      <c r="AV68" s="59"/>
      <c r="AW68" s="59"/>
      <c r="AX68" s="59"/>
      <c r="AY68" s="59"/>
      <c r="AZ68" s="59"/>
      <c r="BA68" s="59"/>
      <c r="BB68" s="59"/>
      <c r="BC68" s="59"/>
      <c r="BD68" s="59"/>
    </row>
    <row r="69" spans="1:56" s="3" customFormat="1" ht="25.5" customHeight="1" x14ac:dyDescent="0.3">
      <c r="A69" s="421">
        <v>37</v>
      </c>
      <c r="B69" s="423" t="s">
        <v>192</v>
      </c>
      <c r="C69" s="341"/>
      <c r="D69" s="225" t="s">
        <v>49</v>
      </c>
      <c r="E69" s="176" t="s">
        <v>94</v>
      </c>
      <c r="F69" s="176">
        <v>5</v>
      </c>
      <c r="G69" s="176" t="s">
        <v>35</v>
      </c>
      <c r="H69" s="176">
        <v>27</v>
      </c>
      <c r="I69" s="174">
        <v>15</v>
      </c>
      <c r="J69" s="255">
        <v>30</v>
      </c>
      <c r="K69" s="174"/>
      <c r="L69" s="174"/>
      <c r="M69" s="174">
        <v>15</v>
      </c>
      <c r="N69" s="230"/>
      <c r="O69" s="258" t="s">
        <v>409</v>
      </c>
      <c r="P69" s="258"/>
      <c r="Q69" s="174"/>
      <c r="R69" s="174"/>
      <c r="S69" s="174"/>
      <c r="T69" s="174"/>
      <c r="U69" s="174"/>
      <c r="V69" s="174"/>
      <c r="W69" s="174"/>
      <c r="X69" s="243"/>
      <c r="Y69" s="232">
        <v>2.1</v>
      </c>
      <c r="Z69" s="172" t="s">
        <v>409</v>
      </c>
      <c r="AA69" s="59"/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59"/>
      <c r="AM69" s="59"/>
      <c r="AN69" s="59"/>
      <c r="AO69" s="59"/>
      <c r="AP69" s="59"/>
      <c r="AQ69" s="59"/>
      <c r="AR69" s="59"/>
      <c r="AS69" s="59"/>
      <c r="AT69" s="59"/>
      <c r="AU69" s="59"/>
      <c r="AV69" s="59"/>
      <c r="AW69" s="59"/>
      <c r="AX69" s="59"/>
      <c r="AY69" s="59"/>
      <c r="AZ69" s="59"/>
      <c r="BA69" s="59"/>
      <c r="BB69" s="59"/>
      <c r="BC69" s="59"/>
      <c r="BD69" s="59"/>
    </row>
    <row r="70" spans="1:56" s="3" customFormat="1" ht="25.5" customHeight="1" x14ac:dyDescent="0.3">
      <c r="A70" s="421"/>
      <c r="B70" s="423"/>
      <c r="C70" s="341"/>
      <c r="D70" s="225" t="s">
        <v>49</v>
      </c>
      <c r="E70" s="176" t="s">
        <v>288</v>
      </c>
      <c r="F70" s="176">
        <v>5</v>
      </c>
      <c r="G70" s="176" t="s">
        <v>35</v>
      </c>
      <c r="H70" s="176">
        <v>11</v>
      </c>
      <c r="I70" s="174"/>
      <c r="J70" s="255">
        <v>30</v>
      </c>
      <c r="K70" s="174"/>
      <c r="L70" s="174"/>
      <c r="M70" s="174"/>
      <c r="N70" s="230"/>
      <c r="O70" s="258" t="s">
        <v>409</v>
      </c>
      <c r="P70" s="258"/>
      <c r="Q70" s="174"/>
      <c r="R70" s="174"/>
      <c r="S70" s="174"/>
      <c r="T70" s="174"/>
      <c r="U70" s="174"/>
      <c r="V70" s="174"/>
      <c r="W70" s="174"/>
      <c r="X70" s="243"/>
      <c r="Y70" s="232">
        <v>1.1000000000000001</v>
      </c>
      <c r="Z70" s="172" t="s">
        <v>409</v>
      </c>
      <c r="AA70" s="59"/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9"/>
      <c r="AN70" s="59"/>
      <c r="AO70" s="59"/>
      <c r="AP70" s="59"/>
      <c r="AQ70" s="59"/>
      <c r="AR70" s="59"/>
      <c r="AS70" s="59"/>
      <c r="AT70" s="59"/>
      <c r="AU70" s="59"/>
      <c r="AV70" s="59"/>
      <c r="AW70" s="59"/>
      <c r="AX70" s="59"/>
      <c r="AY70" s="59"/>
      <c r="AZ70" s="59"/>
      <c r="BA70" s="59"/>
      <c r="BB70" s="59"/>
      <c r="BC70" s="59"/>
      <c r="BD70" s="59"/>
    </row>
    <row r="71" spans="1:56" s="3" customFormat="1" ht="25.5" customHeight="1" x14ac:dyDescent="0.3">
      <c r="A71" s="421"/>
      <c r="B71" s="423"/>
      <c r="C71" s="341"/>
      <c r="D71" s="225" t="s">
        <v>49</v>
      </c>
      <c r="E71" s="176" t="s">
        <v>93</v>
      </c>
      <c r="F71" s="176">
        <v>5</v>
      </c>
      <c r="G71" s="174" t="s">
        <v>32</v>
      </c>
      <c r="H71" s="176">
        <v>14</v>
      </c>
      <c r="I71" s="174">
        <v>15</v>
      </c>
      <c r="J71" s="255">
        <v>30</v>
      </c>
      <c r="K71" s="174"/>
      <c r="L71" s="174"/>
      <c r="M71" s="174">
        <v>15</v>
      </c>
      <c r="N71" s="230"/>
      <c r="O71" s="258" t="s">
        <v>428</v>
      </c>
      <c r="P71" s="258"/>
      <c r="Q71" s="174"/>
      <c r="R71" s="174"/>
      <c r="S71" s="174"/>
      <c r="T71" s="174"/>
      <c r="U71" s="174"/>
      <c r="V71" s="174"/>
      <c r="W71" s="174"/>
      <c r="X71" s="243"/>
      <c r="Y71" s="232">
        <v>2.1</v>
      </c>
      <c r="Z71" s="172" t="s">
        <v>428</v>
      </c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  <c r="AN71" s="59"/>
      <c r="AO71" s="59"/>
      <c r="AP71" s="59"/>
      <c r="AQ71" s="59"/>
      <c r="AR71" s="59"/>
      <c r="AS71" s="59"/>
      <c r="AT71" s="59"/>
      <c r="AU71" s="59"/>
      <c r="AV71" s="59"/>
      <c r="AW71" s="59"/>
      <c r="AX71" s="59"/>
      <c r="AY71" s="59"/>
      <c r="AZ71" s="59"/>
      <c r="BA71" s="59"/>
      <c r="BB71" s="59"/>
      <c r="BC71" s="59"/>
      <c r="BD71" s="59"/>
    </row>
    <row r="72" spans="1:56" s="3" customFormat="1" ht="26.45" customHeight="1" x14ac:dyDescent="0.3">
      <c r="A72" s="421">
        <v>40</v>
      </c>
      <c r="B72" s="424" t="s">
        <v>143</v>
      </c>
      <c r="C72" s="342"/>
      <c r="D72" s="225" t="s">
        <v>49</v>
      </c>
      <c r="E72" s="176" t="s">
        <v>94</v>
      </c>
      <c r="F72" s="176">
        <v>5</v>
      </c>
      <c r="G72" s="176" t="s">
        <v>35</v>
      </c>
      <c r="H72" s="176">
        <v>27</v>
      </c>
      <c r="I72" s="174">
        <v>15</v>
      </c>
      <c r="J72" s="255">
        <v>30</v>
      </c>
      <c r="K72" s="174"/>
      <c r="L72" s="174"/>
      <c r="M72" s="174">
        <v>15</v>
      </c>
      <c r="N72" s="230"/>
      <c r="O72" s="258" t="s">
        <v>408</v>
      </c>
      <c r="P72" s="258"/>
      <c r="Q72" s="174"/>
      <c r="R72" s="174"/>
      <c r="S72" s="174"/>
      <c r="T72" s="174"/>
      <c r="U72" s="174"/>
      <c r="V72" s="174"/>
      <c r="W72" s="174"/>
      <c r="X72" s="243"/>
      <c r="Y72" s="232">
        <v>2.1</v>
      </c>
      <c r="Z72" s="172" t="s">
        <v>408</v>
      </c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59"/>
      <c r="AN72" s="59"/>
      <c r="AO72" s="59"/>
      <c r="AP72" s="59"/>
      <c r="AQ72" s="59"/>
      <c r="AR72" s="59"/>
      <c r="AS72" s="59"/>
      <c r="AT72" s="59"/>
      <c r="AU72" s="59"/>
      <c r="AV72" s="59"/>
      <c r="AW72" s="59"/>
      <c r="AX72" s="59"/>
      <c r="AY72" s="59"/>
      <c r="AZ72" s="59"/>
      <c r="BA72" s="59"/>
      <c r="BB72" s="59"/>
      <c r="BC72" s="59"/>
      <c r="BD72" s="59"/>
    </row>
    <row r="73" spans="1:56" s="3" customFormat="1" ht="26.45" customHeight="1" x14ac:dyDescent="0.3">
      <c r="A73" s="421"/>
      <c r="B73" s="424"/>
      <c r="C73" s="342"/>
      <c r="D73" s="225" t="s">
        <v>49</v>
      </c>
      <c r="E73" s="176" t="s">
        <v>288</v>
      </c>
      <c r="F73" s="176">
        <v>5</v>
      </c>
      <c r="G73" s="176" t="s">
        <v>35</v>
      </c>
      <c r="H73" s="176">
        <v>11</v>
      </c>
      <c r="I73" s="174"/>
      <c r="J73" s="255">
        <v>30</v>
      </c>
      <c r="K73" s="174"/>
      <c r="L73" s="174"/>
      <c r="M73" s="174"/>
      <c r="N73" s="230"/>
      <c r="O73" s="258" t="s">
        <v>408</v>
      </c>
      <c r="P73" s="258"/>
      <c r="Q73" s="174"/>
      <c r="R73" s="174"/>
      <c r="S73" s="174"/>
      <c r="T73" s="174"/>
      <c r="U73" s="174"/>
      <c r="V73" s="174"/>
      <c r="W73" s="174"/>
      <c r="X73" s="243"/>
      <c r="Y73" s="232">
        <v>1.1000000000000001</v>
      </c>
      <c r="Z73" s="172" t="s">
        <v>408</v>
      </c>
      <c r="AA73" s="59"/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9"/>
      <c r="AN73" s="59"/>
      <c r="AO73" s="59"/>
      <c r="AP73" s="59"/>
      <c r="AQ73" s="59"/>
      <c r="AR73" s="59"/>
      <c r="AS73" s="59"/>
      <c r="AT73" s="59"/>
      <c r="AU73" s="59"/>
      <c r="AV73" s="59"/>
      <c r="AW73" s="59"/>
      <c r="AX73" s="59"/>
      <c r="AY73" s="59"/>
      <c r="AZ73" s="59"/>
      <c r="BA73" s="59"/>
      <c r="BB73" s="59"/>
      <c r="BC73" s="59"/>
      <c r="BD73" s="59"/>
    </row>
    <row r="74" spans="1:56" s="3" customFormat="1" ht="26.45" customHeight="1" x14ac:dyDescent="0.3">
      <c r="A74" s="421"/>
      <c r="B74" s="424"/>
      <c r="C74" s="342"/>
      <c r="D74" s="225" t="s">
        <v>49</v>
      </c>
      <c r="E74" s="176" t="s">
        <v>93</v>
      </c>
      <c r="F74" s="176">
        <v>5</v>
      </c>
      <c r="G74" s="174" t="s">
        <v>32</v>
      </c>
      <c r="H74" s="176">
        <v>14</v>
      </c>
      <c r="I74" s="174">
        <v>15</v>
      </c>
      <c r="J74" s="255">
        <v>30</v>
      </c>
      <c r="K74" s="174"/>
      <c r="L74" s="174"/>
      <c r="M74" s="174">
        <v>15</v>
      </c>
      <c r="N74" s="230"/>
      <c r="O74" s="258" t="s">
        <v>406</v>
      </c>
      <c r="P74" s="258"/>
      <c r="Q74" s="174"/>
      <c r="R74" s="174"/>
      <c r="S74" s="174"/>
      <c r="T74" s="174"/>
      <c r="U74" s="174"/>
      <c r="V74" s="174"/>
      <c r="W74" s="174"/>
      <c r="X74" s="243"/>
      <c r="Y74" s="232">
        <v>2.1</v>
      </c>
      <c r="Z74" s="172" t="s">
        <v>406</v>
      </c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59"/>
      <c r="AL74" s="59"/>
      <c r="AM74" s="59"/>
      <c r="AN74" s="59"/>
      <c r="AO74" s="59"/>
      <c r="AP74" s="59"/>
      <c r="AQ74" s="59"/>
      <c r="AR74" s="59"/>
      <c r="AS74" s="59"/>
      <c r="AT74" s="59"/>
      <c r="AU74" s="59"/>
      <c r="AV74" s="59"/>
      <c r="AW74" s="59"/>
      <c r="AX74" s="59"/>
      <c r="AY74" s="59"/>
      <c r="AZ74" s="59"/>
      <c r="BA74" s="59"/>
      <c r="BB74" s="59"/>
      <c r="BC74" s="59"/>
      <c r="BD74" s="59"/>
    </row>
    <row r="75" spans="1:56" s="3" customFormat="1" ht="22.5" customHeight="1" x14ac:dyDescent="0.3">
      <c r="A75" s="421">
        <v>43</v>
      </c>
      <c r="B75" s="423" t="s">
        <v>188</v>
      </c>
      <c r="C75" s="341"/>
      <c r="D75" s="225" t="s">
        <v>114</v>
      </c>
      <c r="E75" s="174" t="s">
        <v>185</v>
      </c>
      <c r="F75" s="174">
        <v>5</v>
      </c>
      <c r="G75" s="176" t="s">
        <v>35</v>
      </c>
      <c r="H75" s="174">
        <v>27</v>
      </c>
      <c r="I75" s="176">
        <v>15</v>
      </c>
      <c r="J75" s="174">
        <v>30</v>
      </c>
      <c r="K75" s="174"/>
      <c r="L75" s="174"/>
      <c r="M75" s="174">
        <v>15</v>
      </c>
      <c r="N75" s="174"/>
      <c r="O75" s="258" t="s">
        <v>408</v>
      </c>
      <c r="P75" s="258"/>
      <c r="Q75" s="174"/>
      <c r="R75" s="174"/>
      <c r="S75" s="174"/>
      <c r="T75" s="174"/>
      <c r="U75" s="174"/>
      <c r="V75" s="174"/>
      <c r="W75" s="174"/>
      <c r="X75" s="243"/>
      <c r="Y75" s="232">
        <v>2.1</v>
      </c>
      <c r="Z75" s="172" t="s">
        <v>408</v>
      </c>
      <c r="AA75" s="59"/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59"/>
      <c r="AN75" s="59"/>
      <c r="AO75" s="59"/>
      <c r="AP75" s="59"/>
      <c r="AQ75" s="59"/>
      <c r="AR75" s="59"/>
      <c r="AS75" s="59"/>
      <c r="AT75" s="59"/>
      <c r="AU75" s="59"/>
      <c r="AV75" s="59"/>
      <c r="AW75" s="59"/>
      <c r="AX75" s="59"/>
      <c r="AY75" s="59"/>
      <c r="AZ75" s="59"/>
      <c r="BA75" s="59"/>
      <c r="BB75" s="59"/>
      <c r="BC75" s="59"/>
      <c r="BD75" s="59"/>
    </row>
    <row r="76" spans="1:56" s="3" customFormat="1" ht="22.5" customHeight="1" x14ac:dyDescent="0.3">
      <c r="A76" s="421"/>
      <c r="B76" s="423"/>
      <c r="C76" s="341"/>
      <c r="D76" s="225" t="s">
        <v>114</v>
      </c>
      <c r="E76" s="174" t="s">
        <v>186</v>
      </c>
      <c r="F76" s="174">
        <v>5</v>
      </c>
      <c r="G76" s="176" t="s">
        <v>35</v>
      </c>
      <c r="H76" s="174">
        <v>16</v>
      </c>
      <c r="I76" s="176"/>
      <c r="J76" s="174">
        <v>30</v>
      </c>
      <c r="K76" s="174"/>
      <c r="L76" s="174"/>
      <c r="M76" s="174"/>
      <c r="N76" s="174"/>
      <c r="O76" s="258" t="s">
        <v>408</v>
      </c>
      <c r="P76" s="258"/>
      <c r="Q76" s="174"/>
      <c r="R76" s="174"/>
      <c r="S76" s="174"/>
      <c r="T76" s="174"/>
      <c r="U76" s="174"/>
      <c r="V76" s="174"/>
      <c r="W76" s="174"/>
      <c r="X76" s="243"/>
      <c r="Y76" s="232">
        <v>1.1000000000000001</v>
      </c>
      <c r="Z76" s="172" t="s">
        <v>408</v>
      </c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59"/>
      <c r="AN76" s="59"/>
      <c r="AO76" s="59"/>
      <c r="AP76" s="59"/>
      <c r="AQ76" s="59"/>
      <c r="AR76" s="59"/>
      <c r="AS76" s="59"/>
      <c r="AT76" s="59"/>
      <c r="AU76" s="59"/>
      <c r="AV76" s="59"/>
      <c r="AW76" s="59"/>
      <c r="AX76" s="59"/>
      <c r="AY76" s="59"/>
      <c r="AZ76" s="59"/>
      <c r="BA76" s="59"/>
      <c r="BB76" s="59"/>
      <c r="BC76" s="59"/>
      <c r="BD76" s="59"/>
    </row>
    <row r="77" spans="1:56" s="3" customFormat="1" ht="22.5" customHeight="1" x14ac:dyDescent="0.3">
      <c r="A77" s="421"/>
      <c r="B77" s="423"/>
      <c r="C77" s="341"/>
      <c r="D77" s="225" t="s">
        <v>114</v>
      </c>
      <c r="E77" s="174" t="s">
        <v>187</v>
      </c>
      <c r="F77" s="174">
        <v>5</v>
      </c>
      <c r="G77" s="176" t="s">
        <v>32</v>
      </c>
      <c r="H77" s="174">
        <v>13</v>
      </c>
      <c r="I77" s="176">
        <v>15</v>
      </c>
      <c r="J77" s="174">
        <v>30</v>
      </c>
      <c r="K77" s="174"/>
      <c r="L77" s="174"/>
      <c r="M77" s="174">
        <v>15</v>
      </c>
      <c r="N77" s="174"/>
      <c r="O77" s="258" t="s">
        <v>427</v>
      </c>
      <c r="P77" s="258"/>
      <c r="Q77" s="174"/>
      <c r="R77" s="174"/>
      <c r="S77" s="174"/>
      <c r="T77" s="174"/>
      <c r="U77" s="174"/>
      <c r="V77" s="174"/>
      <c r="W77" s="174"/>
      <c r="X77" s="243"/>
      <c r="Y77" s="232">
        <v>2.1</v>
      </c>
      <c r="Z77" s="172" t="s">
        <v>427</v>
      </c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59"/>
      <c r="AZ77" s="59"/>
      <c r="BA77" s="59"/>
      <c r="BB77" s="59"/>
      <c r="BC77" s="59"/>
      <c r="BD77" s="59"/>
    </row>
    <row r="78" spans="1:56" s="3" customFormat="1" ht="22.5" customHeight="1" x14ac:dyDescent="0.25">
      <c r="A78" s="253"/>
      <c r="B78" s="427" t="s">
        <v>345</v>
      </c>
      <c r="C78" s="395" t="s">
        <v>672</v>
      </c>
      <c r="D78" s="174" t="s">
        <v>49</v>
      </c>
      <c r="E78" s="174" t="s">
        <v>291</v>
      </c>
      <c r="F78" s="174">
        <v>4</v>
      </c>
      <c r="G78" s="174" t="s">
        <v>35</v>
      </c>
      <c r="H78" s="176">
        <v>6</v>
      </c>
      <c r="I78" s="176">
        <v>30</v>
      </c>
      <c r="J78" s="174">
        <v>8</v>
      </c>
      <c r="K78" s="174">
        <v>7</v>
      </c>
      <c r="L78" s="174"/>
      <c r="M78" s="174">
        <v>8</v>
      </c>
      <c r="N78" s="174"/>
      <c r="O78" s="258" t="s">
        <v>433</v>
      </c>
      <c r="P78" s="258"/>
      <c r="Q78" s="174"/>
      <c r="R78" s="174"/>
      <c r="S78" s="174"/>
      <c r="T78" s="174"/>
      <c r="U78" s="174"/>
      <c r="V78" s="174"/>
      <c r="W78" s="174"/>
      <c r="X78" s="174"/>
      <c r="Y78" s="239">
        <v>1.9</v>
      </c>
      <c r="Z78" s="172" t="s">
        <v>433</v>
      </c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59"/>
      <c r="AN78" s="59"/>
      <c r="AO78" s="59"/>
      <c r="AP78" s="59"/>
      <c r="AQ78" s="59"/>
      <c r="AR78" s="59"/>
      <c r="AS78" s="59"/>
      <c r="AT78" s="59"/>
      <c r="AU78" s="59"/>
      <c r="AV78" s="59"/>
      <c r="AW78" s="59"/>
      <c r="AX78" s="59"/>
      <c r="AY78" s="59"/>
      <c r="AZ78" s="59"/>
      <c r="BA78" s="59"/>
      <c r="BB78" s="59"/>
      <c r="BC78" s="59"/>
      <c r="BD78" s="59"/>
    </row>
    <row r="79" spans="1:56" s="3" customFormat="1" ht="22.5" customHeight="1" x14ac:dyDescent="0.25">
      <c r="A79" s="253"/>
      <c r="B79" s="427"/>
      <c r="C79" s="396"/>
      <c r="D79" s="174" t="s">
        <v>62</v>
      </c>
      <c r="E79" s="174" t="s">
        <v>292</v>
      </c>
      <c r="F79" s="174">
        <v>4</v>
      </c>
      <c r="G79" s="176" t="s">
        <v>35</v>
      </c>
      <c r="H79" s="176">
        <v>9</v>
      </c>
      <c r="I79" s="176"/>
      <c r="J79" s="174"/>
      <c r="K79" s="174"/>
      <c r="L79" s="174"/>
      <c r="M79" s="174"/>
      <c r="N79" s="174"/>
      <c r="O79" s="258" t="s">
        <v>433</v>
      </c>
      <c r="P79" s="258"/>
      <c r="Q79" s="174"/>
      <c r="R79" s="174"/>
      <c r="S79" s="174"/>
      <c r="T79" s="174"/>
      <c r="U79" s="174"/>
      <c r="V79" s="174"/>
      <c r="W79" s="174"/>
      <c r="X79" s="174"/>
      <c r="Y79" s="239"/>
      <c r="Z79" s="172" t="s">
        <v>433</v>
      </c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  <c r="AN79" s="59"/>
      <c r="AO79" s="59"/>
      <c r="AP79" s="59"/>
      <c r="AQ79" s="59"/>
      <c r="AR79" s="59"/>
      <c r="AS79" s="59"/>
      <c r="AT79" s="59"/>
      <c r="AU79" s="59"/>
      <c r="AV79" s="59"/>
      <c r="AW79" s="59"/>
      <c r="AX79" s="59"/>
      <c r="AY79" s="59"/>
      <c r="AZ79" s="59"/>
      <c r="BA79" s="59"/>
      <c r="BB79" s="59"/>
      <c r="BC79" s="59"/>
      <c r="BD79" s="59"/>
    </row>
    <row r="80" spans="1:56" s="3" customFormat="1" ht="22.5" customHeight="1" x14ac:dyDescent="0.3">
      <c r="A80" s="253"/>
      <c r="B80" s="427"/>
      <c r="C80" s="396"/>
      <c r="D80" s="176" t="s">
        <v>210</v>
      </c>
      <c r="E80" s="176" t="s">
        <v>293</v>
      </c>
      <c r="F80" s="174">
        <v>4</v>
      </c>
      <c r="G80" s="176" t="s">
        <v>35</v>
      </c>
      <c r="H80" s="176">
        <v>6</v>
      </c>
      <c r="I80" s="176"/>
      <c r="J80" s="174">
        <v>8</v>
      </c>
      <c r="K80" s="174">
        <v>7</v>
      </c>
      <c r="L80" s="174"/>
      <c r="M80" s="174"/>
      <c r="N80" s="174"/>
      <c r="O80" s="258" t="s">
        <v>433</v>
      </c>
      <c r="P80" s="258"/>
      <c r="Q80" s="174"/>
      <c r="R80" s="230"/>
      <c r="S80" s="230"/>
      <c r="T80" s="231"/>
      <c r="U80" s="174"/>
      <c r="V80" s="174"/>
      <c r="W80" s="174"/>
      <c r="X80" s="174"/>
      <c r="Y80" s="232">
        <v>0.6</v>
      </c>
      <c r="Z80" s="172" t="s">
        <v>433</v>
      </c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  <c r="AN80" s="59"/>
      <c r="AO80" s="59"/>
      <c r="AP80" s="59"/>
      <c r="AQ80" s="59"/>
      <c r="AR80" s="59"/>
      <c r="AS80" s="59"/>
      <c r="AT80" s="59"/>
      <c r="AU80" s="59"/>
      <c r="AV80" s="59"/>
      <c r="AW80" s="59"/>
      <c r="AX80" s="59"/>
      <c r="AY80" s="59"/>
      <c r="AZ80" s="59"/>
      <c r="BA80" s="59"/>
      <c r="BB80" s="59"/>
      <c r="BC80" s="59"/>
      <c r="BD80" s="59"/>
    </row>
    <row r="81" spans="1:56" s="3" customFormat="1" ht="22.5" customHeight="1" x14ac:dyDescent="0.3">
      <c r="A81" s="253"/>
      <c r="B81" s="427"/>
      <c r="C81" s="396"/>
      <c r="D81" s="225" t="s">
        <v>41</v>
      </c>
      <c r="E81" s="174" t="s">
        <v>318</v>
      </c>
      <c r="F81" s="174">
        <v>4</v>
      </c>
      <c r="G81" s="174" t="s">
        <v>35</v>
      </c>
      <c r="H81" s="176">
        <v>1</v>
      </c>
      <c r="I81" s="176"/>
      <c r="J81" s="174"/>
      <c r="K81" s="174"/>
      <c r="L81" s="174"/>
      <c r="M81" s="174"/>
      <c r="N81" s="230"/>
      <c r="O81" s="258" t="s">
        <v>433</v>
      </c>
      <c r="P81" s="258"/>
      <c r="Q81" s="230"/>
      <c r="R81" s="230"/>
      <c r="S81" s="230"/>
      <c r="T81" s="231"/>
      <c r="U81" s="174"/>
      <c r="V81" s="174"/>
      <c r="W81" s="174"/>
      <c r="X81" s="174"/>
      <c r="Y81" s="232"/>
      <c r="Z81" s="172" t="s">
        <v>433</v>
      </c>
      <c r="AA81" s="59"/>
      <c r="AB81" s="59"/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59"/>
      <c r="AN81" s="59"/>
      <c r="AO81" s="59"/>
      <c r="AP81" s="59"/>
      <c r="AQ81" s="59"/>
      <c r="AR81" s="59"/>
      <c r="AS81" s="59"/>
      <c r="AT81" s="59"/>
      <c r="AU81" s="59"/>
      <c r="AV81" s="59"/>
      <c r="AW81" s="59"/>
      <c r="AX81" s="59"/>
      <c r="AY81" s="59"/>
      <c r="AZ81" s="59"/>
      <c r="BA81" s="59"/>
      <c r="BB81" s="59"/>
      <c r="BC81" s="59"/>
      <c r="BD81" s="59"/>
    </row>
    <row r="82" spans="1:56" s="3" customFormat="1" ht="22.5" customHeight="1" x14ac:dyDescent="0.3">
      <c r="A82" s="253"/>
      <c r="B82" s="427"/>
      <c r="C82" s="396"/>
      <c r="D82" s="174" t="s">
        <v>51</v>
      </c>
      <c r="E82" s="174" t="s">
        <v>299</v>
      </c>
      <c r="F82" s="174">
        <v>4</v>
      </c>
      <c r="G82" s="176" t="s">
        <v>35</v>
      </c>
      <c r="H82" s="176">
        <v>3</v>
      </c>
      <c r="I82" s="176"/>
      <c r="J82" s="174"/>
      <c r="K82" s="174"/>
      <c r="L82" s="174"/>
      <c r="M82" s="174"/>
      <c r="N82" s="230"/>
      <c r="O82" s="258" t="s">
        <v>433</v>
      </c>
      <c r="P82" s="258"/>
      <c r="Q82" s="230"/>
      <c r="R82" s="230"/>
      <c r="S82" s="230"/>
      <c r="T82" s="231"/>
      <c r="U82" s="174"/>
      <c r="V82" s="174"/>
      <c r="W82" s="174"/>
      <c r="X82" s="174"/>
      <c r="Y82" s="232"/>
      <c r="Z82" s="172" t="s">
        <v>433</v>
      </c>
      <c r="AA82" s="59"/>
      <c r="AB82" s="59"/>
      <c r="AC82" s="59"/>
      <c r="AD82" s="59"/>
      <c r="AE82" s="59"/>
      <c r="AF82" s="59"/>
      <c r="AG82" s="59"/>
      <c r="AH82" s="59"/>
      <c r="AI82" s="59"/>
      <c r="AJ82" s="59"/>
      <c r="AK82" s="59"/>
      <c r="AL82" s="59"/>
      <c r="AM82" s="59"/>
      <c r="AN82" s="59"/>
      <c r="AO82" s="59"/>
      <c r="AP82" s="59"/>
      <c r="AQ82" s="59"/>
      <c r="AR82" s="59"/>
      <c r="AS82" s="59"/>
      <c r="AT82" s="59"/>
      <c r="AU82" s="59"/>
      <c r="AV82" s="59"/>
      <c r="AW82" s="59"/>
      <c r="AX82" s="59"/>
      <c r="AY82" s="59"/>
      <c r="AZ82" s="59"/>
      <c r="BA82" s="59"/>
      <c r="BB82" s="59"/>
      <c r="BC82" s="59"/>
      <c r="BD82" s="59"/>
    </row>
    <row r="83" spans="1:56" s="3" customFormat="1" ht="22.5" customHeight="1" x14ac:dyDescent="0.3">
      <c r="A83" s="253"/>
      <c r="B83" s="427"/>
      <c r="C83" s="396"/>
      <c r="D83" s="174" t="s">
        <v>45</v>
      </c>
      <c r="E83" s="174" t="s">
        <v>294</v>
      </c>
      <c r="F83" s="174">
        <v>4</v>
      </c>
      <c r="G83" s="174" t="s">
        <v>35</v>
      </c>
      <c r="H83" s="176">
        <v>11</v>
      </c>
      <c r="I83" s="176"/>
      <c r="J83" s="174">
        <v>8</v>
      </c>
      <c r="K83" s="174">
        <v>7</v>
      </c>
      <c r="L83" s="174"/>
      <c r="M83" s="174"/>
      <c r="N83" s="230"/>
      <c r="O83" s="258" t="s">
        <v>433</v>
      </c>
      <c r="P83" s="258"/>
      <c r="Q83" s="230"/>
      <c r="R83" s="230"/>
      <c r="S83" s="230"/>
      <c r="T83" s="231"/>
      <c r="U83" s="174"/>
      <c r="V83" s="174"/>
      <c r="W83" s="174"/>
      <c r="X83" s="174"/>
      <c r="Y83" s="232">
        <v>0.6</v>
      </c>
      <c r="Z83" s="172" t="s">
        <v>433</v>
      </c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  <c r="AN83" s="59"/>
      <c r="AO83" s="59"/>
      <c r="AP83" s="59"/>
      <c r="AQ83" s="59"/>
      <c r="AR83" s="59"/>
      <c r="AS83" s="59"/>
      <c r="AT83" s="59"/>
      <c r="AU83" s="59"/>
      <c r="AV83" s="59"/>
      <c r="AW83" s="59"/>
      <c r="AX83" s="59"/>
      <c r="AY83" s="59"/>
      <c r="AZ83" s="59"/>
      <c r="BA83" s="59"/>
      <c r="BB83" s="59"/>
      <c r="BC83" s="59"/>
      <c r="BD83" s="59"/>
    </row>
    <row r="84" spans="1:56" s="3" customFormat="1" ht="22.5" customHeight="1" x14ac:dyDescent="0.3">
      <c r="A84" s="253"/>
      <c r="B84" s="427"/>
      <c r="C84" s="396"/>
      <c r="D84" s="174" t="s">
        <v>61</v>
      </c>
      <c r="E84" s="174" t="s">
        <v>298</v>
      </c>
      <c r="F84" s="174">
        <v>4</v>
      </c>
      <c r="G84" s="176" t="s">
        <v>35</v>
      </c>
      <c r="H84" s="176">
        <v>6</v>
      </c>
      <c r="I84" s="176"/>
      <c r="J84" s="174">
        <v>8</v>
      </c>
      <c r="K84" s="174" t="s">
        <v>688</v>
      </c>
      <c r="L84" s="174"/>
      <c r="M84" s="174"/>
      <c r="N84" s="174"/>
      <c r="O84" s="258" t="s">
        <v>433</v>
      </c>
      <c r="P84" s="258"/>
      <c r="Q84" s="174"/>
      <c r="R84" s="230"/>
      <c r="S84" s="230"/>
      <c r="T84" s="231"/>
      <c r="U84" s="174"/>
      <c r="V84" s="174"/>
      <c r="W84" s="174"/>
      <c r="X84" s="174"/>
      <c r="Y84" s="232">
        <v>0.6</v>
      </c>
      <c r="Z84" s="172" t="s">
        <v>433</v>
      </c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  <c r="AN84" s="59"/>
      <c r="AO84" s="59"/>
      <c r="AP84" s="59"/>
      <c r="AQ84" s="59"/>
      <c r="AR84" s="59"/>
      <c r="AS84" s="59"/>
      <c r="AT84" s="59"/>
      <c r="AU84" s="59"/>
      <c r="AV84" s="59"/>
      <c r="AW84" s="59"/>
      <c r="AX84" s="59"/>
      <c r="AY84" s="59"/>
      <c r="AZ84" s="59"/>
      <c r="BA84" s="59"/>
      <c r="BB84" s="59"/>
      <c r="BC84" s="59"/>
      <c r="BD84" s="59"/>
    </row>
    <row r="85" spans="1:56" s="3" customFormat="1" ht="22.5" customHeight="1" x14ac:dyDescent="0.3">
      <c r="A85" s="253"/>
      <c r="B85" s="427"/>
      <c r="C85" s="396"/>
      <c r="D85" s="225" t="s">
        <v>44</v>
      </c>
      <c r="E85" s="176" t="s">
        <v>297</v>
      </c>
      <c r="F85" s="174">
        <v>4</v>
      </c>
      <c r="G85" s="176" t="s">
        <v>35</v>
      </c>
      <c r="H85" s="176">
        <v>4</v>
      </c>
      <c r="I85" s="176"/>
      <c r="J85" s="174"/>
      <c r="K85" s="174"/>
      <c r="L85" s="174"/>
      <c r="M85" s="174"/>
      <c r="N85" s="230"/>
      <c r="O85" s="258" t="s">
        <v>433</v>
      </c>
      <c r="P85" s="258"/>
      <c r="Q85" s="230"/>
      <c r="R85" s="230"/>
      <c r="S85" s="230"/>
      <c r="T85" s="231"/>
      <c r="U85" s="174"/>
      <c r="V85" s="174"/>
      <c r="W85" s="174"/>
      <c r="X85" s="174"/>
      <c r="Y85" s="232"/>
      <c r="Z85" s="172" t="s">
        <v>433</v>
      </c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  <c r="AN85" s="59"/>
      <c r="AO85" s="59"/>
      <c r="AP85" s="59"/>
      <c r="AQ85" s="59"/>
      <c r="AR85" s="59"/>
      <c r="AS85" s="59"/>
      <c r="AT85" s="59"/>
      <c r="AU85" s="59"/>
      <c r="AV85" s="59"/>
      <c r="AW85" s="59"/>
      <c r="AX85" s="59"/>
      <c r="AY85" s="59"/>
      <c r="AZ85" s="59"/>
      <c r="BA85" s="59"/>
      <c r="BB85" s="59"/>
      <c r="BC85" s="59"/>
      <c r="BD85" s="59"/>
    </row>
    <row r="86" spans="1:56" s="3" customFormat="1" ht="22.5" customHeight="1" x14ac:dyDescent="0.3">
      <c r="A86" s="253"/>
      <c r="B86" s="427"/>
      <c r="C86" s="396"/>
      <c r="D86" s="225" t="s">
        <v>43</v>
      </c>
      <c r="E86" s="176" t="s">
        <v>322</v>
      </c>
      <c r="F86" s="174">
        <v>4</v>
      </c>
      <c r="G86" s="176" t="s">
        <v>35</v>
      </c>
      <c r="H86" s="176">
        <v>5</v>
      </c>
      <c r="I86" s="176"/>
      <c r="J86" s="174"/>
      <c r="K86" s="174"/>
      <c r="L86" s="174"/>
      <c r="M86" s="174"/>
      <c r="N86" s="230"/>
      <c r="O86" s="258" t="s">
        <v>433</v>
      </c>
      <c r="P86" s="258"/>
      <c r="Q86" s="230"/>
      <c r="R86" s="230"/>
      <c r="S86" s="230"/>
      <c r="T86" s="231"/>
      <c r="U86" s="174"/>
      <c r="V86" s="174"/>
      <c r="W86" s="174"/>
      <c r="X86" s="174"/>
      <c r="Y86" s="232"/>
      <c r="Z86" s="172" t="s">
        <v>433</v>
      </c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9"/>
      <c r="AN86" s="59"/>
      <c r="AO86" s="59"/>
      <c r="AP86" s="59"/>
      <c r="AQ86" s="59"/>
      <c r="AR86" s="59"/>
      <c r="AS86" s="59"/>
      <c r="AT86" s="59"/>
      <c r="AU86" s="59"/>
      <c r="AV86" s="59"/>
      <c r="AW86" s="59"/>
      <c r="AX86" s="59"/>
      <c r="AY86" s="59"/>
      <c r="AZ86" s="59"/>
      <c r="BA86" s="59"/>
      <c r="BB86" s="59"/>
      <c r="BC86" s="59"/>
      <c r="BD86" s="59"/>
    </row>
    <row r="87" spans="1:56" s="3" customFormat="1" ht="22.5" customHeight="1" x14ac:dyDescent="0.3">
      <c r="A87" s="253"/>
      <c r="B87" s="427"/>
      <c r="C87" s="396"/>
      <c r="D87" s="225" t="s">
        <v>114</v>
      </c>
      <c r="E87" s="174" t="s">
        <v>296</v>
      </c>
      <c r="F87" s="174">
        <v>4</v>
      </c>
      <c r="G87" s="176" t="s">
        <v>35</v>
      </c>
      <c r="H87" s="176">
        <v>6</v>
      </c>
      <c r="I87" s="176"/>
      <c r="J87" s="174">
        <v>8</v>
      </c>
      <c r="K87" s="174">
        <v>7</v>
      </c>
      <c r="L87" s="174"/>
      <c r="M87" s="174"/>
      <c r="N87" s="174"/>
      <c r="O87" s="258" t="s">
        <v>433</v>
      </c>
      <c r="P87" s="258"/>
      <c r="Q87" s="174"/>
      <c r="R87" s="230"/>
      <c r="S87" s="230"/>
      <c r="T87" s="231"/>
      <c r="U87" s="174"/>
      <c r="V87" s="174"/>
      <c r="W87" s="174"/>
      <c r="X87" s="174"/>
      <c r="Y87" s="232">
        <v>0.6</v>
      </c>
      <c r="Z87" s="172" t="s">
        <v>433</v>
      </c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  <c r="AN87" s="59"/>
      <c r="AO87" s="59"/>
      <c r="AP87" s="59"/>
      <c r="AQ87" s="59"/>
      <c r="AR87" s="59"/>
      <c r="AS87" s="59"/>
      <c r="AT87" s="59"/>
      <c r="AU87" s="59"/>
      <c r="AV87" s="59"/>
      <c r="AW87" s="59"/>
      <c r="AX87" s="59"/>
      <c r="AY87" s="59"/>
      <c r="AZ87" s="59"/>
      <c r="BA87" s="59"/>
      <c r="BB87" s="59"/>
      <c r="BC87" s="59"/>
      <c r="BD87" s="59"/>
    </row>
    <row r="88" spans="1:56" s="3" customFormat="1" ht="22.5" customHeight="1" x14ac:dyDescent="0.3">
      <c r="A88" s="253"/>
      <c r="B88" s="427"/>
      <c r="C88" s="397"/>
      <c r="D88" s="225" t="s">
        <v>46</v>
      </c>
      <c r="E88" s="176" t="s">
        <v>301</v>
      </c>
      <c r="F88" s="174">
        <v>4</v>
      </c>
      <c r="G88" s="176" t="s">
        <v>35</v>
      </c>
      <c r="H88" s="176">
        <v>7</v>
      </c>
      <c r="I88" s="176"/>
      <c r="J88" s="174"/>
      <c r="K88" s="174"/>
      <c r="L88" s="174"/>
      <c r="M88" s="174"/>
      <c r="N88" s="230"/>
      <c r="O88" s="258" t="s">
        <v>433</v>
      </c>
      <c r="P88" s="258"/>
      <c r="Q88" s="230"/>
      <c r="R88" s="230"/>
      <c r="S88" s="230"/>
      <c r="T88" s="231"/>
      <c r="U88" s="174"/>
      <c r="V88" s="174"/>
      <c r="W88" s="174"/>
      <c r="X88" s="174"/>
      <c r="Y88" s="232"/>
      <c r="Z88" s="172" t="s">
        <v>433</v>
      </c>
      <c r="AA88" s="59"/>
      <c r="AB88" s="59"/>
      <c r="AC88" s="59"/>
      <c r="AD88" s="59"/>
      <c r="AE88" s="59"/>
      <c r="AF88" s="59"/>
      <c r="AG88" s="59"/>
      <c r="AH88" s="59"/>
      <c r="AI88" s="59"/>
      <c r="AJ88" s="59"/>
      <c r="AK88" s="59"/>
      <c r="AL88" s="59"/>
      <c r="AM88" s="59"/>
      <c r="AN88" s="59"/>
      <c r="AO88" s="59"/>
      <c r="AP88" s="59"/>
      <c r="AQ88" s="59"/>
      <c r="AR88" s="59"/>
      <c r="AS88" s="59"/>
      <c r="AT88" s="59"/>
      <c r="AU88" s="59"/>
      <c r="AV88" s="59"/>
      <c r="AW88" s="59"/>
      <c r="AX88" s="59"/>
      <c r="AY88" s="59"/>
      <c r="AZ88" s="59"/>
      <c r="BA88" s="59"/>
      <c r="BB88" s="59"/>
      <c r="BC88" s="59"/>
      <c r="BD88" s="59"/>
    </row>
    <row r="89" spans="1:56" s="3" customFormat="1" ht="22.5" customHeight="1" x14ac:dyDescent="0.25">
      <c r="A89" s="253"/>
      <c r="B89" s="427"/>
      <c r="C89" s="395" t="s">
        <v>671</v>
      </c>
      <c r="D89" s="176" t="s">
        <v>210</v>
      </c>
      <c r="E89" s="176" t="s">
        <v>323</v>
      </c>
      <c r="F89" s="174">
        <v>4</v>
      </c>
      <c r="G89" s="174" t="s">
        <v>32</v>
      </c>
      <c r="H89" s="176">
        <v>3</v>
      </c>
      <c r="I89" s="176">
        <v>30</v>
      </c>
      <c r="J89" s="174">
        <v>8</v>
      </c>
      <c r="K89" s="174">
        <v>7</v>
      </c>
      <c r="L89" s="174"/>
      <c r="M89" s="174">
        <v>8</v>
      </c>
      <c r="N89" s="174"/>
      <c r="O89" s="258" t="s">
        <v>432</v>
      </c>
      <c r="P89" s="258"/>
      <c r="Q89" s="174"/>
      <c r="R89" s="174"/>
      <c r="S89" s="174"/>
      <c r="T89" s="174"/>
      <c r="U89" s="174"/>
      <c r="V89" s="174"/>
      <c r="W89" s="174"/>
      <c r="X89" s="174"/>
      <c r="Y89" s="239">
        <v>1.9</v>
      </c>
      <c r="Z89" s="172" t="s">
        <v>432</v>
      </c>
      <c r="AA89" s="59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9"/>
      <c r="AN89" s="59"/>
      <c r="AO89" s="59"/>
      <c r="AP89" s="59"/>
      <c r="AQ89" s="59"/>
      <c r="AR89" s="59"/>
      <c r="AS89" s="59"/>
      <c r="AT89" s="59"/>
      <c r="AU89" s="59"/>
      <c r="AV89" s="59"/>
      <c r="AW89" s="59"/>
      <c r="AX89" s="59"/>
      <c r="AY89" s="59"/>
      <c r="AZ89" s="59"/>
      <c r="BA89" s="59"/>
      <c r="BB89" s="59"/>
      <c r="BC89" s="59"/>
      <c r="BD89" s="59"/>
    </row>
    <row r="90" spans="1:56" s="3" customFormat="1" ht="22.5" customHeight="1" x14ac:dyDescent="0.25">
      <c r="A90" s="253"/>
      <c r="B90" s="427"/>
      <c r="C90" s="396"/>
      <c r="D90" s="174" t="s">
        <v>62</v>
      </c>
      <c r="E90" s="174" t="s">
        <v>305</v>
      </c>
      <c r="F90" s="174">
        <v>4</v>
      </c>
      <c r="G90" s="174" t="s">
        <v>32</v>
      </c>
      <c r="H90" s="176">
        <v>5</v>
      </c>
      <c r="I90" s="176"/>
      <c r="J90" s="174"/>
      <c r="K90" s="174"/>
      <c r="L90" s="174"/>
      <c r="M90" s="174"/>
      <c r="N90" s="174"/>
      <c r="O90" s="258" t="s">
        <v>432</v>
      </c>
      <c r="P90" s="258"/>
      <c r="Q90" s="174"/>
      <c r="R90" s="174"/>
      <c r="S90" s="174"/>
      <c r="T90" s="174"/>
      <c r="U90" s="174"/>
      <c r="V90" s="174"/>
      <c r="W90" s="174"/>
      <c r="X90" s="174"/>
      <c r="Y90" s="239"/>
      <c r="Z90" s="172" t="s">
        <v>432</v>
      </c>
      <c r="AA90" s="59"/>
      <c r="AB90" s="59"/>
      <c r="AC90" s="59"/>
      <c r="AD90" s="59"/>
      <c r="AE90" s="59"/>
      <c r="AF90" s="59"/>
      <c r="AG90" s="59"/>
      <c r="AH90" s="59"/>
      <c r="AI90" s="59"/>
      <c r="AJ90" s="59"/>
      <c r="AK90" s="59"/>
      <c r="AL90" s="59"/>
      <c r="AM90" s="59"/>
      <c r="AN90" s="59"/>
      <c r="AO90" s="59"/>
      <c r="AP90" s="59"/>
      <c r="AQ90" s="59"/>
      <c r="AR90" s="59"/>
      <c r="AS90" s="59"/>
      <c r="AT90" s="59"/>
      <c r="AU90" s="59"/>
      <c r="AV90" s="59"/>
      <c r="AW90" s="59"/>
      <c r="AX90" s="59"/>
      <c r="AY90" s="59"/>
      <c r="AZ90" s="59"/>
      <c r="BA90" s="59"/>
      <c r="BB90" s="59"/>
      <c r="BC90" s="59"/>
      <c r="BD90" s="59"/>
    </row>
    <row r="91" spans="1:56" s="3" customFormat="1" ht="22.5" customHeight="1" x14ac:dyDescent="0.3">
      <c r="A91" s="253"/>
      <c r="B91" s="427"/>
      <c r="C91" s="396"/>
      <c r="D91" s="174" t="s">
        <v>45</v>
      </c>
      <c r="E91" s="174" t="s">
        <v>306</v>
      </c>
      <c r="F91" s="174">
        <v>4</v>
      </c>
      <c r="G91" s="174" t="s">
        <v>32</v>
      </c>
      <c r="H91" s="176">
        <v>3</v>
      </c>
      <c r="I91" s="176"/>
      <c r="J91" s="174"/>
      <c r="K91" s="174"/>
      <c r="L91" s="174"/>
      <c r="M91" s="174"/>
      <c r="N91" s="230"/>
      <c r="O91" s="258" t="s">
        <v>432</v>
      </c>
      <c r="P91" s="258"/>
      <c r="Q91" s="230"/>
      <c r="R91" s="230"/>
      <c r="S91" s="230"/>
      <c r="T91" s="231"/>
      <c r="U91" s="174"/>
      <c r="V91" s="174"/>
      <c r="W91" s="174"/>
      <c r="X91" s="174"/>
      <c r="Y91" s="232"/>
      <c r="Z91" s="172" t="s">
        <v>432</v>
      </c>
      <c r="AA91" s="59"/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59"/>
      <c r="AN91" s="59"/>
      <c r="AO91" s="59"/>
      <c r="AP91" s="59"/>
      <c r="AQ91" s="59"/>
      <c r="AR91" s="59"/>
      <c r="AS91" s="59"/>
      <c r="AT91" s="59"/>
      <c r="AU91" s="59"/>
      <c r="AV91" s="59"/>
      <c r="AW91" s="59"/>
      <c r="AX91" s="59"/>
      <c r="AY91" s="59"/>
      <c r="AZ91" s="59"/>
      <c r="BA91" s="59"/>
      <c r="BB91" s="59"/>
      <c r="BC91" s="59"/>
      <c r="BD91" s="59"/>
    </row>
    <row r="92" spans="1:56" s="3" customFormat="1" ht="22.5" customHeight="1" x14ac:dyDescent="0.3">
      <c r="A92" s="253"/>
      <c r="B92" s="427"/>
      <c r="C92" s="396"/>
      <c r="D92" s="174" t="s">
        <v>61</v>
      </c>
      <c r="E92" s="174" t="s">
        <v>307</v>
      </c>
      <c r="F92" s="174">
        <v>4</v>
      </c>
      <c r="G92" s="174" t="s">
        <v>32</v>
      </c>
      <c r="H92" s="176">
        <v>8</v>
      </c>
      <c r="I92" s="176"/>
      <c r="J92" s="174">
        <v>8</v>
      </c>
      <c r="K92" s="174">
        <v>7</v>
      </c>
      <c r="L92" s="174"/>
      <c r="M92" s="174"/>
      <c r="N92" s="174"/>
      <c r="O92" s="258" t="s">
        <v>432</v>
      </c>
      <c r="P92" s="258"/>
      <c r="Q92" s="174"/>
      <c r="R92" s="230"/>
      <c r="S92" s="230"/>
      <c r="T92" s="231"/>
      <c r="U92" s="174"/>
      <c r="V92" s="174"/>
      <c r="W92" s="174"/>
      <c r="X92" s="174"/>
      <c r="Y92" s="232">
        <v>0.6</v>
      </c>
      <c r="Z92" s="172" t="s">
        <v>432</v>
      </c>
      <c r="AA92" s="59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9"/>
      <c r="AN92" s="59"/>
      <c r="AO92" s="59"/>
      <c r="AP92" s="59"/>
      <c r="AQ92" s="59"/>
      <c r="AR92" s="59"/>
      <c r="AS92" s="59"/>
      <c r="AT92" s="59"/>
      <c r="AU92" s="59"/>
      <c r="AV92" s="59"/>
      <c r="AW92" s="59"/>
      <c r="AX92" s="59"/>
      <c r="AY92" s="59"/>
      <c r="AZ92" s="59"/>
      <c r="BA92" s="59"/>
      <c r="BB92" s="59"/>
      <c r="BC92" s="59"/>
      <c r="BD92" s="59"/>
    </row>
    <row r="93" spans="1:56" s="3" customFormat="1" ht="22.5" customHeight="1" x14ac:dyDescent="0.3">
      <c r="A93" s="253"/>
      <c r="B93" s="427"/>
      <c r="C93" s="396"/>
      <c r="D93" s="225" t="s">
        <v>44</v>
      </c>
      <c r="E93" s="176" t="s">
        <v>308</v>
      </c>
      <c r="F93" s="174">
        <v>4</v>
      </c>
      <c r="G93" s="174" t="s">
        <v>32</v>
      </c>
      <c r="H93" s="176">
        <v>3</v>
      </c>
      <c r="I93" s="176"/>
      <c r="J93" s="174"/>
      <c r="K93" s="174"/>
      <c r="L93" s="174"/>
      <c r="M93" s="174"/>
      <c r="N93" s="230"/>
      <c r="O93" s="258" t="s">
        <v>432</v>
      </c>
      <c r="P93" s="258"/>
      <c r="Q93" s="230"/>
      <c r="R93" s="230"/>
      <c r="S93" s="230"/>
      <c r="T93" s="231"/>
      <c r="U93" s="174"/>
      <c r="V93" s="174"/>
      <c r="W93" s="174"/>
      <c r="X93" s="174"/>
      <c r="Y93" s="232"/>
      <c r="Z93" s="172" t="s">
        <v>432</v>
      </c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9"/>
      <c r="AN93" s="59"/>
      <c r="AO93" s="59"/>
      <c r="AP93" s="59"/>
      <c r="AQ93" s="59"/>
      <c r="AR93" s="59"/>
      <c r="AS93" s="59"/>
      <c r="AT93" s="59"/>
      <c r="AU93" s="59"/>
      <c r="AV93" s="59"/>
      <c r="AW93" s="59"/>
      <c r="AX93" s="59"/>
      <c r="AY93" s="59"/>
      <c r="AZ93" s="59"/>
      <c r="BA93" s="59"/>
      <c r="BB93" s="59"/>
      <c r="BC93" s="59"/>
      <c r="BD93" s="59"/>
    </row>
    <row r="94" spans="1:56" s="3" customFormat="1" ht="22.5" customHeight="1" x14ac:dyDescent="0.3">
      <c r="A94" s="253"/>
      <c r="B94" s="427"/>
      <c r="C94" s="396"/>
      <c r="D94" s="225" t="s">
        <v>43</v>
      </c>
      <c r="E94" s="176" t="s">
        <v>309</v>
      </c>
      <c r="F94" s="174">
        <v>4</v>
      </c>
      <c r="G94" s="174" t="s">
        <v>32</v>
      </c>
      <c r="H94" s="176">
        <v>5</v>
      </c>
      <c r="I94" s="176"/>
      <c r="J94" s="174"/>
      <c r="K94" s="174"/>
      <c r="L94" s="174"/>
      <c r="M94" s="174"/>
      <c r="N94" s="230"/>
      <c r="O94" s="258" t="s">
        <v>432</v>
      </c>
      <c r="P94" s="258"/>
      <c r="Q94" s="230"/>
      <c r="R94" s="230"/>
      <c r="S94" s="230"/>
      <c r="T94" s="231"/>
      <c r="U94" s="174"/>
      <c r="V94" s="174"/>
      <c r="W94" s="174"/>
      <c r="X94" s="174"/>
      <c r="Y94" s="232"/>
      <c r="Z94" s="172" t="s">
        <v>432</v>
      </c>
      <c r="AA94" s="59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59"/>
      <c r="AN94" s="59"/>
      <c r="AO94" s="59"/>
      <c r="AP94" s="59"/>
      <c r="AQ94" s="59"/>
      <c r="AR94" s="59"/>
      <c r="AS94" s="59"/>
      <c r="AT94" s="59"/>
      <c r="AU94" s="59"/>
      <c r="AV94" s="59"/>
      <c r="AW94" s="59"/>
      <c r="AX94" s="59"/>
      <c r="AY94" s="59"/>
      <c r="AZ94" s="59"/>
      <c r="BA94" s="59"/>
      <c r="BB94" s="59"/>
      <c r="BC94" s="59"/>
      <c r="BD94" s="59"/>
    </row>
    <row r="95" spans="1:56" s="3" customFormat="1" ht="22.5" customHeight="1" x14ac:dyDescent="0.3">
      <c r="A95" s="253"/>
      <c r="B95" s="427"/>
      <c r="C95" s="396"/>
      <c r="D95" s="225" t="s">
        <v>41</v>
      </c>
      <c r="E95" s="174" t="s">
        <v>317</v>
      </c>
      <c r="F95" s="174">
        <v>4</v>
      </c>
      <c r="G95" s="174" t="s">
        <v>32</v>
      </c>
      <c r="H95" s="176">
        <v>4</v>
      </c>
      <c r="I95" s="176"/>
      <c r="J95" s="174">
        <v>8</v>
      </c>
      <c r="K95" s="174">
        <v>7</v>
      </c>
      <c r="L95" s="174"/>
      <c r="M95" s="174"/>
      <c r="N95" s="174"/>
      <c r="O95" s="258" t="s">
        <v>432</v>
      </c>
      <c r="P95" s="258"/>
      <c r="Q95" s="174"/>
      <c r="R95" s="230"/>
      <c r="S95" s="230"/>
      <c r="T95" s="231"/>
      <c r="U95" s="174"/>
      <c r="V95" s="174"/>
      <c r="W95" s="174"/>
      <c r="X95" s="174"/>
      <c r="Y95" s="232">
        <v>0.6</v>
      </c>
      <c r="Z95" s="172" t="s">
        <v>432</v>
      </c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  <c r="AN95" s="59"/>
      <c r="AO95" s="59"/>
      <c r="AP95" s="59"/>
      <c r="AQ95" s="59"/>
      <c r="AR95" s="59"/>
      <c r="AS95" s="59"/>
      <c r="AT95" s="59"/>
      <c r="AU95" s="59"/>
      <c r="AV95" s="59"/>
      <c r="AW95" s="59"/>
      <c r="AX95" s="59"/>
      <c r="AY95" s="59"/>
      <c r="AZ95" s="59"/>
      <c r="BA95" s="59"/>
      <c r="BB95" s="59"/>
      <c r="BC95" s="59"/>
      <c r="BD95" s="59"/>
    </row>
    <row r="96" spans="1:56" s="3" customFormat="1" ht="22.5" customHeight="1" x14ac:dyDescent="0.3">
      <c r="A96" s="253"/>
      <c r="B96" s="427"/>
      <c r="C96" s="396"/>
      <c r="D96" s="174" t="s">
        <v>51</v>
      </c>
      <c r="E96" s="174" t="s">
        <v>314</v>
      </c>
      <c r="F96" s="174">
        <v>4</v>
      </c>
      <c r="G96" s="174" t="s">
        <v>32</v>
      </c>
      <c r="H96" s="176">
        <v>3</v>
      </c>
      <c r="I96" s="176"/>
      <c r="J96" s="174"/>
      <c r="K96" s="174"/>
      <c r="L96" s="174"/>
      <c r="M96" s="174"/>
      <c r="N96" s="230"/>
      <c r="O96" s="258" t="s">
        <v>432</v>
      </c>
      <c r="P96" s="258"/>
      <c r="Q96" s="230"/>
      <c r="R96" s="230"/>
      <c r="S96" s="230"/>
      <c r="T96" s="231"/>
      <c r="U96" s="174"/>
      <c r="V96" s="174"/>
      <c r="W96" s="174"/>
      <c r="X96" s="174"/>
      <c r="Y96" s="232"/>
      <c r="Z96" s="172" t="s">
        <v>432</v>
      </c>
      <c r="AA96" s="59"/>
      <c r="AB96" s="59"/>
      <c r="AC96" s="59"/>
      <c r="AD96" s="59"/>
      <c r="AE96" s="59"/>
      <c r="AF96" s="59"/>
      <c r="AG96" s="59"/>
      <c r="AH96" s="59"/>
      <c r="AI96" s="59"/>
      <c r="AJ96" s="59"/>
      <c r="AK96" s="59"/>
      <c r="AL96" s="59"/>
      <c r="AM96" s="59"/>
      <c r="AN96" s="59"/>
      <c r="AO96" s="59"/>
      <c r="AP96" s="59"/>
      <c r="AQ96" s="59"/>
      <c r="AR96" s="59"/>
      <c r="AS96" s="59"/>
      <c r="AT96" s="59"/>
      <c r="AU96" s="59"/>
      <c r="AV96" s="59"/>
      <c r="AW96" s="59"/>
      <c r="AX96" s="59"/>
      <c r="AY96" s="59"/>
      <c r="AZ96" s="59"/>
      <c r="BA96" s="59"/>
      <c r="BB96" s="59"/>
      <c r="BC96" s="59"/>
      <c r="BD96" s="59"/>
    </row>
    <row r="97" spans="1:56" s="3" customFormat="1" ht="22.5" customHeight="1" x14ac:dyDescent="0.3">
      <c r="A97" s="253"/>
      <c r="B97" s="427"/>
      <c r="C97" s="396"/>
      <c r="D97" s="225" t="s">
        <v>114</v>
      </c>
      <c r="E97" s="174" t="s">
        <v>312</v>
      </c>
      <c r="F97" s="174">
        <v>4</v>
      </c>
      <c r="G97" s="174" t="s">
        <v>32</v>
      </c>
      <c r="H97" s="176">
        <v>5</v>
      </c>
      <c r="I97" s="176"/>
      <c r="J97" s="174"/>
      <c r="K97" s="174"/>
      <c r="L97" s="174"/>
      <c r="M97" s="174"/>
      <c r="N97" s="230"/>
      <c r="O97" s="258" t="s">
        <v>432</v>
      </c>
      <c r="P97" s="258"/>
      <c r="Q97" s="230"/>
      <c r="R97" s="230"/>
      <c r="S97" s="230"/>
      <c r="T97" s="231"/>
      <c r="U97" s="174"/>
      <c r="V97" s="174"/>
      <c r="W97" s="174"/>
      <c r="X97" s="174"/>
      <c r="Y97" s="232"/>
      <c r="Z97" s="172" t="s">
        <v>432</v>
      </c>
      <c r="AA97" s="59"/>
      <c r="AB97" s="59"/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59"/>
      <c r="AN97" s="59"/>
      <c r="AO97" s="59"/>
      <c r="AP97" s="59"/>
      <c r="AQ97" s="59"/>
      <c r="AR97" s="59"/>
      <c r="AS97" s="59"/>
      <c r="AT97" s="59"/>
      <c r="AU97" s="59"/>
      <c r="AV97" s="59"/>
      <c r="AW97" s="59"/>
      <c r="AX97" s="59"/>
      <c r="AY97" s="59"/>
      <c r="AZ97" s="59"/>
      <c r="BA97" s="59"/>
      <c r="BB97" s="59"/>
      <c r="BC97" s="59"/>
      <c r="BD97" s="59"/>
    </row>
    <row r="98" spans="1:56" s="3" customFormat="1" ht="22.5" customHeight="1" x14ac:dyDescent="0.3">
      <c r="A98" s="253"/>
      <c r="B98" s="427"/>
      <c r="C98" s="397"/>
      <c r="D98" s="225" t="s">
        <v>46</v>
      </c>
      <c r="E98" s="176" t="s">
        <v>313</v>
      </c>
      <c r="F98" s="174">
        <v>4</v>
      </c>
      <c r="G98" s="174" t="s">
        <v>32</v>
      </c>
      <c r="H98" s="176">
        <v>10</v>
      </c>
      <c r="I98" s="176"/>
      <c r="J98" s="174">
        <v>8</v>
      </c>
      <c r="K98" s="174">
        <v>7</v>
      </c>
      <c r="L98" s="174"/>
      <c r="M98" s="174"/>
      <c r="N98" s="174"/>
      <c r="O98" s="258" t="s">
        <v>432</v>
      </c>
      <c r="P98" s="258"/>
      <c r="Q98" s="174"/>
      <c r="R98" s="230"/>
      <c r="S98" s="230"/>
      <c r="T98" s="231"/>
      <c r="U98" s="174"/>
      <c r="V98" s="174"/>
      <c r="W98" s="174"/>
      <c r="X98" s="174"/>
      <c r="Y98" s="232">
        <v>0.6</v>
      </c>
      <c r="Z98" s="172" t="s">
        <v>432</v>
      </c>
      <c r="AA98" s="59"/>
      <c r="AB98" s="59"/>
      <c r="AC98" s="59"/>
      <c r="AD98" s="59"/>
      <c r="AE98" s="59"/>
      <c r="AF98" s="59"/>
      <c r="AG98" s="59"/>
      <c r="AH98" s="59"/>
      <c r="AI98" s="59"/>
      <c r="AJ98" s="59"/>
      <c r="AK98" s="59"/>
      <c r="AL98" s="59"/>
      <c r="AM98" s="59"/>
      <c r="AN98" s="59"/>
      <c r="AO98" s="59"/>
      <c r="AP98" s="59"/>
      <c r="AQ98" s="59"/>
      <c r="AR98" s="59"/>
      <c r="AS98" s="59"/>
      <c r="AT98" s="59"/>
      <c r="AU98" s="59"/>
      <c r="AV98" s="59"/>
      <c r="AW98" s="59"/>
      <c r="AX98" s="59"/>
      <c r="AY98" s="59"/>
      <c r="AZ98" s="59"/>
      <c r="BA98" s="59"/>
      <c r="BB98" s="59"/>
      <c r="BC98" s="59"/>
      <c r="BD98" s="59"/>
    </row>
    <row r="99" spans="1:56" ht="27.75" customHeight="1" x14ac:dyDescent="0.2">
      <c r="A99" s="425" t="s">
        <v>160</v>
      </c>
      <c r="B99" s="426"/>
      <c r="C99" s="426"/>
      <c r="D99" s="426"/>
      <c r="E99" s="426"/>
      <c r="F99" s="426"/>
      <c r="G99" s="426"/>
      <c r="H99" s="426"/>
      <c r="I99" s="259">
        <f t="shared" ref="I99:Y99" si="0">SUM(I13:I98)</f>
        <v>945</v>
      </c>
      <c r="J99" s="259">
        <f t="shared" si="0"/>
        <v>1832</v>
      </c>
      <c r="K99" s="259">
        <f t="shared" si="0"/>
        <v>133</v>
      </c>
      <c r="L99" s="259">
        <f t="shared" si="0"/>
        <v>0</v>
      </c>
      <c r="M99" s="259">
        <f t="shared" si="0"/>
        <v>783</v>
      </c>
      <c r="N99" s="259">
        <f t="shared" si="0"/>
        <v>0</v>
      </c>
      <c r="O99" s="235"/>
      <c r="P99" s="235"/>
      <c r="Q99" s="259">
        <f t="shared" si="0"/>
        <v>0</v>
      </c>
      <c r="R99" s="259">
        <f t="shared" si="0"/>
        <v>0</v>
      </c>
      <c r="S99" s="259">
        <f t="shared" si="0"/>
        <v>0</v>
      </c>
      <c r="T99" s="259">
        <f t="shared" si="0"/>
        <v>0</v>
      </c>
      <c r="U99" s="259">
        <f t="shared" si="0"/>
        <v>0</v>
      </c>
      <c r="V99" s="259">
        <f t="shared" si="0"/>
        <v>0</v>
      </c>
      <c r="W99" s="259">
        <f t="shared" si="0"/>
        <v>0</v>
      </c>
      <c r="X99" s="259">
        <f t="shared" si="0"/>
        <v>0</v>
      </c>
      <c r="Y99" s="260">
        <f t="shared" si="0"/>
        <v>120.32999999999984</v>
      </c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  <c r="AL99" s="58"/>
      <c r="AM99" s="58"/>
      <c r="AN99" s="58"/>
      <c r="AO99" s="58"/>
      <c r="AP99" s="58"/>
      <c r="AQ99" s="58"/>
      <c r="AR99" s="58"/>
      <c r="AS99" s="58"/>
      <c r="AT99" s="58"/>
      <c r="AU99" s="58"/>
      <c r="AV99" s="58"/>
      <c r="AW99" s="58"/>
      <c r="AX99" s="58"/>
      <c r="AY99" s="58"/>
      <c r="AZ99" s="58"/>
      <c r="BA99" s="58"/>
      <c r="BB99" s="58"/>
      <c r="BC99" s="58"/>
      <c r="BD99" s="58"/>
    </row>
    <row r="100" spans="1:56" s="1" customFormat="1" ht="29.25" customHeight="1" x14ac:dyDescent="0.2">
      <c r="A100" s="440">
        <v>1</v>
      </c>
      <c r="B100" s="422" t="s">
        <v>370</v>
      </c>
      <c r="C100" s="340"/>
      <c r="D100" s="225" t="s">
        <v>199</v>
      </c>
      <c r="E100" s="225" t="s">
        <v>368</v>
      </c>
      <c r="F100" s="176">
        <v>6</v>
      </c>
      <c r="G100" s="176" t="s">
        <v>35</v>
      </c>
      <c r="H100" s="176">
        <v>2</v>
      </c>
      <c r="I100" s="174">
        <v>30</v>
      </c>
      <c r="J100" s="174">
        <v>30</v>
      </c>
      <c r="K100" s="174"/>
      <c r="L100" s="174"/>
      <c r="M100" s="174">
        <v>15</v>
      </c>
      <c r="N100" s="174"/>
      <c r="O100" s="229" t="s">
        <v>402</v>
      </c>
      <c r="P100" s="229"/>
      <c r="Q100" s="174"/>
      <c r="R100" s="174"/>
      <c r="S100" s="174"/>
      <c r="T100" s="174"/>
      <c r="U100" s="174"/>
      <c r="V100" s="174"/>
      <c r="W100" s="174"/>
      <c r="X100" s="174"/>
      <c r="Y100" s="174">
        <v>1.25</v>
      </c>
      <c r="Z100" s="17" t="s">
        <v>402</v>
      </c>
    </row>
    <row r="101" spans="1:56" s="1" customFormat="1" ht="29.25" customHeight="1" x14ac:dyDescent="0.2">
      <c r="A101" s="440"/>
      <c r="B101" s="422"/>
      <c r="C101" s="340"/>
      <c r="D101" s="225" t="s">
        <v>374</v>
      </c>
      <c r="E101" s="225" t="s">
        <v>376</v>
      </c>
      <c r="F101" s="176">
        <v>6</v>
      </c>
      <c r="G101" s="176" t="s">
        <v>35</v>
      </c>
      <c r="H101" s="176">
        <v>1</v>
      </c>
      <c r="I101" s="174"/>
      <c r="J101" s="174"/>
      <c r="K101" s="174"/>
      <c r="L101" s="174"/>
      <c r="M101" s="174"/>
      <c r="N101" s="174"/>
      <c r="O101" s="229" t="s">
        <v>402</v>
      </c>
      <c r="P101" s="229"/>
      <c r="Q101" s="174"/>
      <c r="R101" s="174"/>
      <c r="S101" s="174"/>
      <c r="T101" s="174"/>
      <c r="U101" s="174"/>
      <c r="V101" s="174"/>
      <c r="W101" s="174"/>
      <c r="X101" s="174"/>
      <c r="Y101" s="174">
        <v>0</v>
      </c>
      <c r="Z101" s="17" t="s">
        <v>402</v>
      </c>
    </row>
    <row r="102" spans="1:56" s="1" customFormat="1" ht="29.25" customHeight="1" x14ac:dyDescent="0.2">
      <c r="A102" s="440"/>
      <c r="B102" s="422"/>
      <c r="C102" s="340"/>
      <c r="D102" s="225" t="s">
        <v>199</v>
      </c>
      <c r="E102" s="225" t="s">
        <v>369</v>
      </c>
      <c r="F102" s="176">
        <v>6</v>
      </c>
      <c r="G102" s="176" t="s">
        <v>32</v>
      </c>
      <c r="H102" s="174">
        <v>1</v>
      </c>
      <c r="I102" s="174">
        <v>30</v>
      </c>
      <c r="J102" s="174">
        <v>30</v>
      </c>
      <c r="K102" s="174"/>
      <c r="L102" s="174"/>
      <c r="M102" s="174">
        <v>15</v>
      </c>
      <c r="N102" s="174"/>
      <c r="O102" s="229" t="s">
        <v>411</v>
      </c>
      <c r="P102" s="229"/>
      <c r="Q102" s="174"/>
      <c r="R102" s="174"/>
      <c r="S102" s="174"/>
      <c r="T102" s="174"/>
      <c r="U102" s="174"/>
      <c r="V102" s="174"/>
      <c r="W102" s="174"/>
      <c r="X102" s="174"/>
      <c r="Y102" s="174">
        <v>1.25</v>
      </c>
      <c r="Z102" s="17" t="s">
        <v>411</v>
      </c>
    </row>
    <row r="103" spans="1:56" s="1" customFormat="1" ht="29.25" customHeight="1" x14ac:dyDescent="0.2">
      <c r="A103" s="440"/>
      <c r="B103" s="422"/>
      <c r="C103" s="340"/>
      <c r="D103" s="225" t="s">
        <v>374</v>
      </c>
      <c r="E103" s="225" t="s">
        <v>375</v>
      </c>
      <c r="F103" s="176">
        <v>6</v>
      </c>
      <c r="G103" s="176" t="s">
        <v>32</v>
      </c>
      <c r="H103" s="174">
        <v>1</v>
      </c>
      <c r="I103" s="174"/>
      <c r="J103" s="174"/>
      <c r="K103" s="174"/>
      <c r="L103" s="174"/>
      <c r="M103" s="174"/>
      <c r="N103" s="174"/>
      <c r="O103" s="229" t="s">
        <v>411</v>
      </c>
      <c r="P103" s="229"/>
      <c r="Q103" s="174"/>
      <c r="R103" s="174"/>
      <c r="S103" s="174"/>
      <c r="T103" s="174"/>
      <c r="U103" s="174"/>
      <c r="V103" s="174"/>
      <c r="W103" s="174"/>
      <c r="X103" s="174"/>
      <c r="Y103" s="174">
        <v>0</v>
      </c>
      <c r="Z103" s="17" t="s">
        <v>411</v>
      </c>
    </row>
    <row r="104" spans="1:56" s="1" customFormat="1" ht="29.25" customHeight="1" x14ac:dyDescent="0.2">
      <c r="A104" s="437">
        <v>2</v>
      </c>
      <c r="B104" s="422" t="s">
        <v>371</v>
      </c>
      <c r="C104" s="340"/>
      <c r="D104" s="225" t="s">
        <v>199</v>
      </c>
      <c r="E104" s="225" t="s">
        <v>368</v>
      </c>
      <c r="F104" s="176">
        <v>6</v>
      </c>
      <c r="G104" s="176" t="s">
        <v>35</v>
      </c>
      <c r="H104" s="176">
        <v>2</v>
      </c>
      <c r="I104" s="174">
        <v>30</v>
      </c>
      <c r="J104" s="174">
        <v>30</v>
      </c>
      <c r="K104" s="174"/>
      <c r="L104" s="174"/>
      <c r="M104" s="174">
        <v>15</v>
      </c>
      <c r="N104" s="174"/>
      <c r="O104" s="229" t="s">
        <v>401</v>
      </c>
      <c r="P104" s="229"/>
      <c r="Q104" s="174"/>
      <c r="R104" s="174"/>
      <c r="S104" s="174"/>
      <c r="T104" s="174"/>
      <c r="U104" s="174"/>
      <c r="V104" s="174"/>
      <c r="W104" s="174"/>
      <c r="X104" s="174"/>
      <c r="Y104" s="174">
        <v>1.25</v>
      </c>
      <c r="Z104" s="17" t="s">
        <v>401</v>
      </c>
    </row>
    <row r="105" spans="1:56" s="1" customFormat="1" ht="29.25" customHeight="1" x14ac:dyDescent="0.2">
      <c r="A105" s="438"/>
      <c r="B105" s="422"/>
      <c r="C105" s="340"/>
      <c r="D105" s="225" t="s">
        <v>199</v>
      </c>
      <c r="E105" s="225" t="s">
        <v>369</v>
      </c>
      <c r="F105" s="176">
        <v>6</v>
      </c>
      <c r="G105" s="176" t="s">
        <v>32</v>
      </c>
      <c r="H105" s="174">
        <v>1</v>
      </c>
      <c r="I105" s="174">
        <v>30</v>
      </c>
      <c r="J105" s="174">
        <v>30</v>
      </c>
      <c r="K105" s="174"/>
      <c r="L105" s="174"/>
      <c r="M105" s="174">
        <v>15</v>
      </c>
      <c r="N105" s="174"/>
      <c r="O105" s="229" t="s">
        <v>401</v>
      </c>
      <c r="P105" s="229"/>
      <c r="Q105" s="174"/>
      <c r="R105" s="174"/>
      <c r="S105" s="174"/>
      <c r="T105" s="174"/>
      <c r="U105" s="174"/>
      <c r="V105" s="174"/>
      <c r="W105" s="174"/>
      <c r="X105" s="174"/>
      <c r="Y105" s="174">
        <v>1.25</v>
      </c>
      <c r="Z105" s="17" t="s">
        <v>401</v>
      </c>
    </row>
    <row r="106" spans="1:56" s="1" customFormat="1" ht="29.25" customHeight="1" x14ac:dyDescent="0.2">
      <c r="A106" s="437">
        <v>3</v>
      </c>
      <c r="B106" s="422" t="s">
        <v>372</v>
      </c>
      <c r="C106" s="340"/>
      <c r="D106" s="225" t="s">
        <v>199</v>
      </c>
      <c r="E106" s="225" t="s">
        <v>368</v>
      </c>
      <c r="F106" s="176">
        <v>6</v>
      </c>
      <c r="G106" s="176" t="s">
        <v>35</v>
      </c>
      <c r="H106" s="176">
        <v>2</v>
      </c>
      <c r="I106" s="174">
        <v>30</v>
      </c>
      <c r="J106" s="174">
        <v>30</v>
      </c>
      <c r="K106" s="174"/>
      <c r="L106" s="174"/>
      <c r="M106" s="174">
        <v>15</v>
      </c>
      <c r="N106" s="174"/>
      <c r="O106" s="229" t="s">
        <v>401</v>
      </c>
      <c r="P106" s="229"/>
      <c r="Q106" s="174"/>
      <c r="R106" s="174"/>
      <c r="S106" s="174"/>
      <c r="T106" s="174"/>
      <c r="U106" s="174"/>
      <c r="V106" s="174"/>
      <c r="W106" s="174"/>
      <c r="X106" s="174"/>
      <c r="Y106" s="174">
        <v>1.25</v>
      </c>
      <c r="Z106" s="17" t="s">
        <v>401</v>
      </c>
    </row>
    <row r="107" spans="1:56" s="1" customFormat="1" ht="29.25" customHeight="1" x14ac:dyDescent="0.2">
      <c r="A107" s="438"/>
      <c r="B107" s="422"/>
      <c r="C107" s="340"/>
      <c r="D107" s="225" t="s">
        <v>199</v>
      </c>
      <c r="E107" s="225" t="s">
        <v>369</v>
      </c>
      <c r="F107" s="176">
        <v>6</v>
      </c>
      <c r="G107" s="176" t="s">
        <v>32</v>
      </c>
      <c r="H107" s="174">
        <v>1</v>
      </c>
      <c r="I107" s="174">
        <v>30</v>
      </c>
      <c r="J107" s="174">
        <v>30</v>
      </c>
      <c r="K107" s="174"/>
      <c r="L107" s="174"/>
      <c r="M107" s="174">
        <v>15</v>
      </c>
      <c r="N107" s="174"/>
      <c r="O107" s="229" t="s">
        <v>401</v>
      </c>
      <c r="P107" s="229"/>
      <c r="Q107" s="174"/>
      <c r="R107" s="174"/>
      <c r="S107" s="174"/>
      <c r="T107" s="174"/>
      <c r="U107" s="174"/>
      <c r="V107" s="174"/>
      <c r="W107" s="174"/>
      <c r="X107" s="174"/>
      <c r="Y107" s="174">
        <v>1.25</v>
      </c>
      <c r="Z107" s="17" t="s">
        <v>401</v>
      </c>
    </row>
    <row r="108" spans="1:56" s="1" customFormat="1" ht="29.25" customHeight="1" x14ac:dyDescent="0.2">
      <c r="A108" s="437">
        <v>4</v>
      </c>
      <c r="B108" s="422" t="s">
        <v>373</v>
      </c>
      <c r="C108" s="340"/>
      <c r="D108" s="225" t="s">
        <v>199</v>
      </c>
      <c r="E108" s="225" t="s">
        <v>368</v>
      </c>
      <c r="F108" s="176">
        <v>6</v>
      </c>
      <c r="G108" s="176" t="s">
        <v>35</v>
      </c>
      <c r="H108" s="176">
        <v>2</v>
      </c>
      <c r="I108" s="174">
        <v>30</v>
      </c>
      <c r="J108" s="174">
        <v>30</v>
      </c>
      <c r="K108" s="174"/>
      <c r="L108" s="174"/>
      <c r="M108" s="174">
        <v>15</v>
      </c>
      <c r="N108" s="174"/>
      <c r="O108" s="229" t="s">
        <v>414</v>
      </c>
      <c r="P108" s="229"/>
      <c r="Q108" s="174"/>
      <c r="R108" s="174"/>
      <c r="S108" s="174"/>
      <c r="T108" s="174"/>
      <c r="U108" s="174"/>
      <c r="V108" s="174"/>
      <c r="W108" s="174"/>
      <c r="X108" s="174"/>
      <c r="Y108" s="174">
        <v>1.25</v>
      </c>
      <c r="Z108" s="17" t="s">
        <v>414</v>
      </c>
    </row>
    <row r="109" spans="1:56" s="1" customFormat="1" ht="29.25" customHeight="1" x14ac:dyDescent="0.2">
      <c r="A109" s="439"/>
      <c r="B109" s="422"/>
      <c r="C109" s="340"/>
      <c r="D109" s="225" t="s">
        <v>374</v>
      </c>
      <c r="E109" s="225" t="s">
        <v>376</v>
      </c>
      <c r="F109" s="176">
        <v>6</v>
      </c>
      <c r="G109" s="176" t="s">
        <v>35</v>
      </c>
      <c r="H109" s="176">
        <v>1</v>
      </c>
      <c r="I109" s="174"/>
      <c r="J109" s="174"/>
      <c r="K109" s="174"/>
      <c r="L109" s="174"/>
      <c r="M109" s="174"/>
      <c r="N109" s="174"/>
      <c r="O109" s="229" t="s">
        <v>414</v>
      </c>
      <c r="P109" s="229"/>
      <c r="Q109" s="174"/>
      <c r="R109" s="174"/>
      <c r="S109" s="174"/>
      <c r="T109" s="174"/>
      <c r="U109" s="174"/>
      <c r="V109" s="174"/>
      <c r="W109" s="174"/>
      <c r="X109" s="174"/>
      <c r="Y109" s="174">
        <v>0</v>
      </c>
      <c r="Z109" s="17" t="s">
        <v>414</v>
      </c>
    </row>
    <row r="110" spans="1:56" s="1" customFormat="1" ht="29.25" customHeight="1" x14ac:dyDescent="0.25">
      <c r="A110" s="439"/>
      <c r="B110" s="422"/>
      <c r="C110" s="340"/>
      <c r="D110" s="225" t="s">
        <v>199</v>
      </c>
      <c r="E110" s="225" t="s">
        <v>369</v>
      </c>
      <c r="F110" s="176">
        <v>6</v>
      </c>
      <c r="G110" s="176" t="s">
        <v>32</v>
      </c>
      <c r="H110" s="174">
        <v>1</v>
      </c>
      <c r="I110" s="174">
        <v>30</v>
      </c>
      <c r="J110" s="174">
        <v>30</v>
      </c>
      <c r="K110" s="174"/>
      <c r="L110" s="174"/>
      <c r="M110" s="174">
        <v>15</v>
      </c>
      <c r="N110" s="174"/>
      <c r="O110" s="256" t="s">
        <v>420</v>
      </c>
      <c r="P110" s="229"/>
      <c r="Q110" s="174"/>
      <c r="R110" s="174"/>
      <c r="S110" s="174"/>
      <c r="T110" s="174"/>
      <c r="U110" s="174"/>
      <c r="V110" s="174"/>
      <c r="W110" s="174"/>
      <c r="X110" s="174"/>
      <c r="Y110" s="174">
        <v>1.25</v>
      </c>
      <c r="Z110" s="173" t="s">
        <v>420</v>
      </c>
    </row>
    <row r="111" spans="1:56" customFormat="1" ht="29.25" customHeight="1" x14ac:dyDescent="0.25">
      <c r="A111" s="438"/>
      <c r="B111" s="422"/>
      <c r="C111" s="340"/>
      <c r="D111" s="225" t="s">
        <v>374</v>
      </c>
      <c r="E111" s="225" t="s">
        <v>375</v>
      </c>
      <c r="F111" s="176">
        <v>6</v>
      </c>
      <c r="G111" s="176" t="s">
        <v>32</v>
      </c>
      <c r="H111" s="174">
        <v>1</v>
      </c>
      <c r="I111" s="174"/>
      <c r="J111" s="174"/>
      <c r="K111" s="174"/>
      <c r="L111" s="174"/>
      <c r="M111" s="174"/>
      <c r="N111" s="174"/>
      <c r="O111" s="256" t="s">
        <v>420</v>
      </c>
      <c r="P111" s="229"/>
      <c r="Q111" s="174"/>
      <c r="R111" s="174"/>
      <c r="S111" s="174"/>
      <c r="T111" s="174"/>
      <c r="U111" s="174"/>
      <c r="V111" s="174"/>
      <c r="W111" s="174"/>
      <c r="X111" s="174"/>
      <c r="Y111" s="174"/>
      <c r="Z111" s="173" t="s">
        <v>420</v>
      </c>
    </row>
    <row r="112" spans="1:56" customFormat="1" ht="29.25" customHeight="1" x14ac:dyDescent="0.2">
      <c r="A112" s="437">
        <v>5</v>
      </c>
      <c r="B112" s="422" t="s">
        <v>379</v>
      </c>
      <c r="C112" s="340"/>
      <c r="D112" s="225" t="s">
        <v>374</v>
      </c>
      <c r="E112" s="225" t="s">
        <v>376</v>
      </c>
      <c r="F112" s="176">
        <v>6</v>
      </c>
      <c r="G112" s="176" t="s">
        <v>35</v>
      </c>
      <c r="H112" s="176">
        <v>1</v>
      </c>
      <c r="I112" s="174">
        <v>30</v>
      </c>
      <c r="J112" s="174">
        <v>30</v>
      </c>
      <c r="K112" s="174"/>
      <c r="L112" s="174"/>
      <c r="M112" s="174">
        <v>15</v>
      </c>
      <c r="N112" s="174"/>
      <c r="O112" s="229" t="s">
        <v>404</v>
      </c>
      <c r="P112" s="229"/>
      <c r="Q112" s="174"/>
      <c r="R112" s="174"/>
      <c r="S112" s="174"/>
      <c r="T112" s="174"/>
      <c r="U112" s="174"/>
      <c r="V112" s="174"/>
      <c r="W112" s="174"/>
      <c r="X112" s="174"/>
      <c r="Y112" s="174">
        <v>1.25</v>
      </c>
      <c r="Z112" s="17" t="s">
        <v>404</v>
      </c>
    </row>
    <row r="113" spans="1:56" customFormat="1" ht="29.25" customHeight="1" x14ac:dyDescent="0.2">
      <c r="A113" s="438"/>
      <c r="B113" s="422"/>
      <c r="C113" s="340"/>
      <c r="D113" s="225" t="s">
        <v>374</v>
      </c>
      <c r="E113" s="225" t="s">
        <v>375</v>
      </c>
      <c r="F113" s="176">
        <v>6</v>
      </c>
      <c r="G113" s="176" t="s">
        <v>32</v>
      </c>
      <c r="H113" s="174">
        <v>1</v>
      </c>
      <c r="I113" s="174">
        <v>30</v>
      </c>
      <c r="J113" s="174">
        <v>30</v>
      </c>
      <c r="K113" s="174"/>
      <c r="L113" s="174"/>
      <c r="M113" s="174">
        <v>15</v>
      </c>
      <c r="N113" s="174"/>
      <c r="O113" s="229" t="s">
        <v>404</v>
      </c>
      <c r="P113" s="229"/>
      <c r="Q113" s="174"/>
      <c r="R113" s="174"/>
      <c r="S113" s="174"/>
      <c r="T113" s="174"/>
      <c r="U113" s="174"/>
      <c r="V113" s="174"/>
      <c r="W113" s="174"/>
      <c r="X113" s="174"/>
      <c r="Y113" s="174">
        <v>1.25</v>
      </c>
      <c r="Z113" s="17" t="s">
        <v>404</v>
      </c>
    </row>
    <row r="114" spans="1:56" customFormat="1" ht="29.25" customHeight="1" x14ac:dyDescent="0.2">
      <c r="A114" s="437">
        <v>6</v>
      </c>
      <c r="B114" s="422" t="s">
        <v>380</v>
      </c>
      <c r="C114" s="340"/>
      <c r="D114" s="225" t="s">
        <v>374</v>
      </c>
      <c r="E114" s="225" t="s">
        <v>376</v>
      </c>
      <c r="F114" s="176">
        <v>4</v>
      </c>
      <c r="G114" s="176" t="s">
        <v>35</v>
      </c>
      <c r="H114" s="176">
        <v>1</v>
      </c>
      <c r="I114" s="174">
        <v>15</v>
      </c>
      <c r="J114" s="174">
        <v>30</v>
      </c>
      <c r="K114" s="174"/>
      <c r="L114" s="174"/>
      <c r="M114" s="174">
        <v>8</v>
      </c>
      <c r="N114" s="174"/>
      <c r="O114" s="229" t="s">
        <v>402</v>
      </c>
      <c r="P114" s="229"/>
      <c r="Q114" s="174"/>
      <c r="R114" s="174"/>
      <c r="S114" s="174"/>
      <c r="T114" s="174"/>
      <c r="U114" s="174"/>
      <c r="V114" s="174"/>
      <c r="W114" s="174"/>
      <c r="X114" s="174"/>
      <c r="Y114" s="174">
        <v>0.95</v>
      </c>
      <c r="Z114" s="17" t="s">
        <v>402</v>
      </c>
    </row>
    <row r="115" spans="1:56" customFormat="1" ht="29.25" customHeight="1" thickBot="1" x14ac:dyDescent="0.25">
      <c r="A115" s="438"/>
      <c r="B115" s="422"/>
      <c r="C115" s="340"/>
      <c r="D115" s="225" t="s">
        <v>374</v>
      </c>
      <c r="E115" s="225" t="s">
        <v>375</v>
      </c>
      <c r="F115" s="176">
        <v>4</v>
      </c>
      <c r="G115" s="176" t="s">
        <v>32</v>
      </c>
      <c r="H115" s="174">
        <v>1</v>
      </c>
      <c r="I115" s="174">
        <v>15</v>
      </c>
      <c r="J115" s="174">
        <v>30</v>
      </c>
      <c r="K115" s="174"/>
      <c r="L115" s="174"/>
      <c r="M115" s="174">
        <v>8</v>
      </c>
      <c r="N115" s="174"/>
      <c r="O115" s="229" t="s">
        <v>402</v>
      </c>
      <c r="P115" s="229"/>
      <c r="Q115" s="174"/>
      <c r="R115" s="174"/>
      <c r="S115" s="174"/>
      <c r="T115" s="174"/>
      <c r="U115" s="174"/>
      <c r="V115" s="174"/>
      <c r="W115" s="174"/>
      <c r="X115" s="174"/>
      <c r="Y115" s="174">
        <v>0.95</v>
      </c>
      <c r="Z115" s="17" t="s">
        <v>402</v>
      </c>
    </row>
    <row r="116" spans="1:56" s="1" customFormat="1" ht="20.25" customHeight="1" thickBot="1" x14ac:dyDescent="0.25">
      <c r="A116" s="434" t="s">
        <v>377</v>
      </c>
      <c r="B116" s="435"/>
      <c r="C116" s="435"/>
      <c r="D116" s="435"/>
      <c r="E116" s="435"/>
      <c r="F116" s="435"/>
      <c r="G116" s="435"/>
      <c r="H116" s="435"/>
      <c r="I116" s="105">
        <f t="shared" ref="I116:Y116" si="1">SUM(I100:I115)</f>
        <v>330</v>
      </c>
      <c r="J116" s="105">
        <f t="shared" si="1"/>
        <v>360</v>
      </c>
      <c r="K116" s="105">
        <f t="shared" si="1"/>
        <v>0</v>
      </c>
      <c r="L116" s="105">
        <f t="shared" si="1"/>
        <v>0</v>
      </c>
      <c r="M116" s="105">
        <f t="shared" si="1"/>
        <v>166</v>
      </c>
      <c r="N116" s="105">
        <f t="shared" si="1"/>
        <v>0</v>
      </c>
      <c r="O116" s="105">
        <f t="shared" si="1"/>
        <v>0</v>
      </c>
      <c r="P116" s="105">
        <f t="shared" si="1"/>
        <v>0</v>
      </c>
      <c r="Q116" s="105">
        <f t="shared" si="1"/>
        <v>0</v>
      </c>
      <c r="R116" s="105">
        <f t="shared" si="1"/>
        <v>0</v>
      </c>
      <c r="S116" s="105">
        <f t="shared" si="1"/>
        <v>0</v>
      </c>
      <c r="T116" s="105">
        <f t="shared" si="1"/>
        <v>0</v>
      </c>
      <c r="U116" s="105">
        <f t="shared" si="1"/>
        <v>0</v>
      </c>
      <c r="V116" s="105">
        <f t="shared" si="1"/>
        <v>0</v>
      </c>
      <c r="W116" s="105">
        <f t="shared" si="1"/>
        <v>0</v>
      </c>
      <c r="X116" s="105">
        <f t="shared" si="1"/>
        <v>0</v>
      </c>
      <c r="Y116" s="106">
        <f t="shared" si="1"/>
        <v>14.399999999999999</v>
      </c>
    </row>
    <row r="117" spans="1:56" s="1" customFormat="1" ht="20.25" customHeight="1" x14ac:dyDescent="0.2">
      <c r="A117" s="436" t="s">
        <v>160</v>
      </c>
      <c r="B117" s="436"/>
      <c r="C117" s="436"/>
      <c r="D117" s="436"/>
      <c r="E117" s="436"/>
      <c r="F117" s="436"/>
      <c r="G117" s="436"/>
      <c r="H117" s="436"/>
      <c r="I117" s="108">
        <f t="shared" ref="I117:Y117" si="2">I116+I99</f>
        <v>1275</v>
      </c>
      <c r="J117" s="108">
        <f t="shared" si="2"/>
        <v>2192</v>
      </c>
      <c r="K117" s="108">
        <f t="shared" si="2"/>
        <v>133</v>
      </c>
      <c r="L117" s="108">
        <f t="shared" si="2"/>
        <v>0</v>
      </c>
      <c r="M117" s="108">
        <f t="shared" si="2"/>
        <v>949</v>
      </c>
      <c r="N117" s="108">
        <f t="shared" si="2"/>
        <v>0</v>
      </c>
      <c r="O117" s="108">
        <f t="shared" si="2"/>
        <v>0</v>
      </c>
      <c r="P117" s="108">
        <f t="shared" si="2"/>
        <v>0</v>
      </c>
      <c r="Q117" s="108">
        <f t="shared" si="2"/>
        <v>0</v>
      </c>
      <c r="R117" s="108">
        <f t="shared" si="2"/>
        <v>0</v>
      </c>
      <c r="S117" s="108">
        <f t="shared" si="2"/>
        <v>0</v>
      </c>
      <c r="T117" s="108">
        <f t="shared" si="2"/>
        <v>0</v>
      </c>
      <c r="U117" s="108">
        <f t="shared" si="2"/>
        <v>0</v>
      </c>
      <c r="V117" s="108">
        <f t="shared" si="2"/>
        <v>0</v>
      </c>
      <c r="W117" s="108">
        <f t="shared" si="2"/>
        <v>0</v>
      </c>
      <c r="X117" s="108">
        <f t="shared" si="2"/>
        <v>0</v>
      </c>
      <c r="Y117" s="108">
        <f t="shared" si="2"/>
        <v>134.72999999999985</v>
      </c>
    </row>
    <row r="118" spans="1:56" ht="14.25" customHeight="1" x14ac:dyDescent="0.2">
      <c r="A118" s="85"/>
      <c r="B118" s="40"/>
      <c r="C118" s="40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AA118" s="58"/>
      <c r="AB118" s="58"/>
      <c r="AC118" s="58"/>
      <c r="AD118" s="58"/>
      <c r="AE118" s="58"/>
      <c r="AF118" s="58"/>
      <c r="AG118" s="58"/>
      <c r="AH118" s="58"/>
      <c r="AI118" s="58"/>
      <c r="AJ118" s="58"/>
      <c r="AK118" s="58"/>
      <c r="AL118" s="58"/>
      <c r="AM118" s="58"/>
      <c r="AN118" s="58"/>
      <c r="AO118" s="58"/>
      <c r="AP118" s="58"/>
      <c r="AQ118" s="58"/>
      <c r="AR118" s="58"/>
      <c r="AS118" s="58"/>
      <c r="AT118" s="58"/>
      <c r="AU118" s="58"/>
      <c r="AV118" s="58"/>
      <c r="AW118" s="58"/>
      <c r="AX118" s="58"/>
      <c r="AY118" s="58"/>
      <c r="AZ118" s="58"/>
      <c r="BA118" s="58"/>
      <c r="BB118" s="58"/>
      <c r="BC118" s="58"/>
      <c r="BD118" s="58"/>
    </row>
    <row r="119" spans="1:56" x14ac:dyDescent="0.3">
      <c r="A119" s="26"/>
      <c r="B119" s="26" t="s">
        <v>42</v>
      </c>
      <c r="C119" s="26"/>
      <c r="D119" s="26"/>
      <c r="E119" s="26"/>
      <c r="F119" s="26"/>
      <c r="G119" s="87"/>
      <c r="H119" s="23"/>
      <c r="I119" s="88"/>
      <c r="J119" s="51"/>
      <c r="K119" s="26"/>
      <c r="L119" s="88" t="s">
        <v>117</v>
      </c>
      <c r="M119" s="87" t="s">
        <v>161</v>
      </c>
      <c r="N119" s="26"/>
      <c r="O119" s="26"/>
      <c r="P119" s="26"/>
      <c r="Q119" s="26"/>
      <c r="R119" s="26"/>
      <c r="S119" s="26"/>
      <c r="T119" s="26"/>
      <c r="U119" s="19"/>
      <c r="V119" s="30"/>
      <c r="W119" s="26"/>
      <c r="X119" s="6"/>
      <c r="Y119" s="30"/>
      <c r="AA119" s="58"/>
      <c r="AB119" s="58"/>
      <c r="AC119" s="58"/>
      <c r="AD119" s="58"/>
      <c r="AE119" s="58"/>
      <c r="AF119" s="58"/>
      <c r="AG119" s="58"/>
      <c r="AH119" s="58"/>
      <c r="AI119" s="58"/>
      <c r="AJ119" s="58"/>
      <c r="AK119" s="58"/>
      <c r="AL119" s="58"/>
      <c r="AM119" s="58"/>
      <c r="AN119" s="58"/>
      <c r="AO119" s="58"/>
      <c r="AP119" s="58"/>
      <c r="AQ119" s="58"/>
      <c r="AR119" s="58"/>
      <c r="AS119" s="58"/>
      <c r="AT119" s="58"/>
      <c r="AU119" s="58"/>
      <c r="AV119" s="58"/>
      <c r="AW119" s="58"/>
      <c r="AX119" s="58"/>
      <c r="AY119" s="58"/>
      <c r="AZ119" s="58"/>
      <c r="BA119" s="58"/>
      <c r="BB119" s="58"/>
      <c r="BC119" s="58"/>
      <c r="BD119" s="58"/>
    </row>
    <row r="120" spans="1:56" ht="42.75" customHeight="1" x14ac:dyDescent="0.3">
      <c r="A120" s="6"/>
      <c r="B120" s="26" t="s">
        <v>213</v>
      </c>
      <c r="C120" s="26"/>
      <c r="D120" s="26"/>
      <c r="E120" s="26"/>
      <c r="F120" s="26"/>
      <c r="G120" s="88"/>
      <c r="H120" s="88"/>
      <c r="I120" s="88"/>
      <c r="J120" s="6"/>
      <c r="K120" s="26"/>
      <c r="L120" s="26"/>
      <c r="M120" s="87" t="s">
        <v>213</v>
      </c>
      <c r="N120" s="26"/>
      <c r="O120" s="6"/>
      <c r="P120" s="6"/>
      <c r="R120" s="6"/>
      <c r="S120" s="88"/>
      <c r="T120" s="88"/>
      <c r="U120" s="88"/>
      <c r="V120" s="6"/>
      <c r="W120" s="6"/>
      <c r="X120" s="52"/>
      <c r="Y120" s="30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  <c r="AL120" s="58"/>
      <c r="AM120" s="58"/>
      <c r="AN120" s="58"/>
      <c r="AO120" s="58"/>
      <c r="AP120" s="58"/>
      <c r="AQ120" s="58"/>
      <c r="AR120" s="58"/>
      <c r="AS120" s="58"/>
      <c r="AT120" s="58"/>
      <c r="AU120" s="58"/>
      <c r="AV120" s="58"/>
      <c r="AW120" s="58"/>
      <c r="AX120" s="58"/>
      <c r="AY120" s="58"/>
      <c r="AZ120" s="58"/>
      <c r="BA120" s="58"/>
      <c r="BB120" s="58"/>
      <c r="BC120" s="58"/>
      <c r="BD120" s="58"/>
    </row>
    <row r="121" spans="1:56" x14ac:dyDescent="0.3">
      <c r="D121" s="88"/>
      <c r="E121" s="88"/>
      <c r="F121" s="88"/>
      <c r="G121" s="53"/>
      <c r="H121" s="88"/>
      <c r="I121" s="88"/>
      <c r="J121" s="54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4"/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  <c r="AL121" s="58"/>
      <c r="AM121" s="58"/>
      <c r="AN121" s="58"/>
      <c r="AO121" s="58"/>
      <c r="AP121" s="58"/>
      <c r="AQ121" s="58"/>
      <c r="AR121" s="58"/>
      <c r="AS121" s="58"/>
      <c r="AT121" s="58"/>
      <c r="AU121" s="58"/>
      <c r="AV121" s="58"/>
      <c r="AW121" s="58"/>
      <c r="AX121" s="58"/>
      <c r="AY121" s="58"/>
      <c r="AZ121" s="58"/>
      <c r="BA121" s="58"/>
      <c r="BB121" s="58"/>
      <c r="BC121" s="58"/>
      <c r="BD121" s="58"/>
    </row>
    <row r="122" spans="1:56" x14ac:dyDescent="0.3"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AA122" s="58"/>
      <c r="AB122" s="58"/>
      <c r="AC122" s="58"/>
      <c r="AD122" s="58"/>
      <c r="AE122" s="58"/>
      <c r="AF122" s="58"/>
      <c r="AG122" s="58"/>
      <c r="AH122" s="58"/>
      <c r="AI122" s="58"/>
      <c r="AJ122" s="58"/>
      <c r="AK122" s="58"/>
      <c r="AL122" s="58"/>
      <c r="AM122" s="58"/>
      <c r="AN122" s="58"/>
      <c r="AO122" s="58"/>
      <c r="AP122" s="58"/>
      <c r="AQ122" s="58"/>
      <c r="AR122" s="58"/>
      <c r="AS122" s="58"/>
      <c r="AT122" s="58"/>
      <c r="AU122" s="58"/>
      <c r="AV122" s="58"/>
      <c r="AW122" s="58"/>
      <c r="AX122" s="58"/>
      <c r="AY122" s="58"/>
      <c r="AZ122" s="58"/>
      <c r="BA122" s="58"/>
      <c r="BB122" s="58"/>
      <c r="BC122" s="58"/>
      <c r="BD122" s="58"/>
    </row>
    <row r="123" spans="1:56" x14ac:dyDescent="0.3"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58"/>
      <c r="AL123" s="58"/>
      <c r="AM123" s="58"/>
      <c r="AN123" s="58"/>
      <c r="AO123" s="58"/>
      <c r="AP123" s="58"/>
      <c r="AQ123" s="58"/>
      <c r="AR123" s="58"/>
      <c r="AS123" s="58"/>
      <c r="AT123" s="58"/>
      <c r="AU123" s="58"/>
      <c r="AV123" s="58"/>
      <c r="AW123" s="58"/>
      <c r="AX123" s="58"/>
      <c r="AY123" s="58"/>
      <c r="AZ123" s="58"/>
      <c r="BA123" s="58"/>
      <c r="BB123" s="58"/>
      <c r="BC123" s="58"/>
      <c r="BD123" s="58"/>
    </row>
    <row r="124" spans="1:56" x14ac:dyDescent="0.3"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  <c r="AL124" s="58"/>
      <c r="AM124" s="58"/>
      <c r="AN124" s="58"/>
      <c r="AO124" s="58"/>
      <c r="AP124" s="58"/>
      <c r="AQ124" s="58"/>
      <c r="AR124" s="58"/>
      <c r="AS124" s="58"/>
      <c r="AT124" s="58"/>
      <c r="AU124" s="58"/>
      <c r="AV124" s="58"/>
      <c r="AW124" s="58"/>
      <c r="AX124" s="58"/>
      <c r="AY124" s="58"/>
      <c r="AZ124" s="58"/>
      <c r="BA124" s="58"/>
      <c r="BB124" s="58"/>
      <c r="BC124" s="58"/>
      <c r="BD124" s="58"/>
    </row>
    <row r="125" spans="1:56" x14ac:dyDescent="0.3"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  <c r="AM125" s="58"/>
      <c r="AN125" s="58"/>
      <c r="AO125" s="58"/>
      <c r="AP125" s="58"/>
      <c r="AQ125" s="58"/>
      <c r="AR125" s="58"/>
      <c r="AS125" s="58"/>
      <c r="AT125" s="58"/>
      <c r="AU125" s="58"/>
      <c r="AV125" s="58"/>
      <c r="AW125" s="58"/>
      <c r="AX125" s="58"/>
      <c r="AY125" s="58"/>
      <c r="AZ125" s="58"/>
      <c r="BA125" s="58"/>
      <c r="BB125" s="58"/>
      <c r="BC125" s="58"/>
      <c r="BD125" s="58"/>
    </row>
    <row r="126" spans="1:56" x14ac:dyDescent="0.3"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  <c r="AM126" s="58"/>
      <c r="AN126" s="58"/>
      <c r="AO126" s="58"/>
      <c r="AP126" s="58"/>
      <c r="AQ126" s="58"/>
      <c r="AR126" s="58"/>
      <c r="AS126" s="58"/>
      <c r="AT126" s="58"/>
      <c r="AU126" s="58"/>
      <c r="AV126" s="58"/>
      <c r="AW126" s="58"/>
      <c r="AX126" s="58"/>
      <c r="AY126" s="58"/>
      <c r="AZ126" s="58"/>
      <c r="BA126" s="58"/>
      <c r="BB126" s="58"/>
      <c r="BC126" s="58"/>
      <c r="BD126" s="58"/>
    </row>
    <row r="127" spans="1:56" x14ac:dyDescent="0.3">
      <c r="G127" s="23"/>
      <c r="H127" s="23"/>
      <c r="I127" s="23"/>
      <c r="J127" s="55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23"/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  <c r="AL127" s="58"/>
      <c r="AM127" s="58"/>
      <c r="AN127" s="58"/>
      <c r="AO127" s="58"/>
      <c r="AP127" s="58"/>
      <c r="AQ127" s="58"/>
      <c r="AR127" s="58"/>
      <c r="AS127" s="58"/>
      <c r="AT127" s="58"/>
      <c r="AU127" s="58"/>
      <c r="AV127" s="58"/>
      <c r="AW127" s="58"/>
      <c r="AX127" s="58"/>
      <c r="AY127" s="58"/>
      <c r="AZ127" s="58"/>
      <c r="BA127" s="58"/>
      <c r="BB127" s="58"/>
      <c r="BC127" s="58"/>
      <c r="BD127" s="58"/>
    </row>
    <row r="128" spans="1:56" x14ac:dyDescent="0.3">
      <c r="G128" s="23"/>
      <c r="H128" s="23"/>
      <c r="I128" s="23"/>
      <c r="J128" s="55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23"/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  <c r="AL128" s="58"/>
      <c r="AM128" s="58"/>
      <c r="AN128" s="58"/>
      <c r="AO128" s="58"/>
      <c r="AP128" s="58"/>
      <c r="AQ128" s="58"/>
      <c r="AR128" s="58"/>
      <c r="AS128" s="58"/>
      <c r="AT128" s="58"/>
      <c r="AU128" s="58"/>
      <c r="AV128" s="58"/>
      <c r="AW128" s="58"/>
      <c r="AX128" s="58"/>
      <c r="AY128" s="58"/>
      <c r="AZ128" s="58"/>
      <c r="BA128" s="58"/>
      <c r="BB128" s="58"/>
      <c r="BC128" s="58"/>
      <c r="BD128" s="58"/>
    </row>
    <row r="129" spans="7:56" x14ac:dyDescent="0.3">
      <c r="G129" s="23"/>
      <c r="H129" s="23"/>
      <c r="I129" s="23"/>
      <c r="J129" s="55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23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  <c r="AL129" s="58"/>
      <c r="AM129" s="58"/>
      <c r="AN129" s="58"/>
      <c r="AO129" s="58"/>
      <c r="AP129" s="58"/>
      <c r="AQ129" s="58"/>
      <c r="AR129" s="58"/>
      <c r="AS129" s="58"/>
      <c r="AT129" s="58"/>
      <c r="AU129" s="58"/>
      <c r="AV129" s="58"/>
      <c r="AW129" s="58"/>
      <c r="AX129" s="58"/>
      <c r="AY129" s="58"/>
      <c r="AZ129" s="58"/>
      <c r="BA129" s="58"/>
      <c r="BB129" s="58"/>
      <c r="BC129" s="58"/>
      <c r="BD129" s="58"/>
    </row>
    <row r="130" spans="7:56" x14ac:dyDescent="0.3">
      <c r="G130" s="23"/>
      <c r="H130" s="23"/>
      <c r="I130" s="23"/>
      <c r="J130" s="55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23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  <c r="AM130" s="58"/>
      <c r="AN130" s="58"/>
      <c r="AO130" s="58"/>
      <c r="AP130" s="58"/>
      <c r="AQ130" s="58"/>
      <c r="AR130" s="58"/>
      <c r="AS130" s="58"/>
      <c r="AT130" s="58"/>
      <c r="AU130" s="58"/>
      <c r="AV130" s="58"/>
      <c r="AW130" s="58"/>
      <c r="AX130" s="58"/>
      <c r="AY130" s="58"/>
      <c r="AZ130" s="58"/>
      <c r="BA130" s="58"/>
      <c r="BB130" s="58"/>
      <c r="BC130" s="58"/>
      <c r="BD130" s="58"/>
    </row>
    <row r="131" spans="7:56" x14ac:dyDescent="0.3">
      <c r="G131" s="23"/>
      <c r="H131" s="23"/>
      <c r="I131" s="23"/>
      <c r="J131" s="55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23"/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  <c r="AL131" s="58"/>
      <c r="AM131" s="58"/>
      <c r="AN131" s="58"/>
      <c r="AO131" s="58"/>
      <c r="AP131" s="58"/>
      <c r="AQ131" s="58"/>
      <c r="AR131" s="58"/>
      <c r="AS131" s="58"/>
      <c r="AT131" s="58"/>
      <c r="AU131" s="58"/>
      <c r="AV131" s="58"/>
      <c r="AW131" s="58"/>
      <c r="AX131" s="58"/>
      <c r="AY131" s="58"/>
      <c r="AZ131" s="58"/>
      <c r="BA131" s="58"/>
      <c r="BB131" s="58"/>
      <c r="BC131" s="58"/>
      <c r="BD131" s="58"/>
    </row>
    <row r="132" spans="7:56" x14ac:dyDescent="0.3">
      <c r="G132" s="23"/>
      <c r="H132" s="23"/>
      <c r="I132" s="23"/>
      <c r="J132" s="55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Y132" s="23"/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  <c r="AL132" s="58"/>
      <c r="AM132" s="58"/>
      <c r="AN132" s="58"/>
      <c r="AO132" s="58"/>
      <c r="AP132" s="58"/>
      <c r="AQ132" s="58"/>
      <c r="AR132" s="58"/>
      <c r="AS132" s="58"/>
      <c r="AT132" s="58"/>
      <c r="AU132" s="58"/>
      <c r="AV132" s="58"/>
      <c r="AW132" s="58"/>
      <c r="AX132" s="58"/>
      <c r="AY132" s="58"/>
      <c r="AZ132" s="58"/>
      <c r="BA132" s="58"/>
      <c r="BB132" s="58"/>
      <c r="BC132" s="58"/>
      <c r="BD132" s="58"/>
    </row>
    <row r="133" spans="7:56" x14ac:dyDescent="0.3">
      <c r="G133" s="23"/>
      <c r="H133" s="23"/>
      <c r="I133" s="23"/>
      <c r="J133" s="55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Y133" s="23"/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  <c r="AL133" s="58"/>
      <c r="AM133" s="58"/>
      <c r="AN133" s="58"/>
      <c r="AO133" s="58"/>
      <c r="AP133" s="58"/>
      <c r="AQ133" s="58"/>
      <c r="AR133" s="58"/>
      <c r="AS133" s="58"/>
      <c r="AT133" s="58"/>
      <c r="AU133" s="58"/>
      <c r="AV133" s="58"/>
      <c r="AW133" s="58"/>
      <c r="AX133" s="58"/>
      <c r="AY133" s="58"/>
      <c r="AZ133" s="58"/>
      <c r="BA133" s="58"/>
      <c r="BB133" s="58"/>
      <c r="BC133" s="58"/>
      <c r="BD133" s="58"/>
    </row>
  </sheetData>
  <mergeCells count="100">
    <mergeCell ref="B1:X1"/>
    <mergeCell ref="B2:X2"/>
    <mergeCell ref="A7:Y7"/>
    <mergeCell ref="A8:Y8"/>
    <mergeCell ref="A9:A10"/>
    <mergeCell ref="B9:B10"/>
    <mergeCell ref="D9:D10"/>
    <mergeCell ref="E9:E10"/>
    <mergeCell ref="F9:F10"/>
    <mergeCell ref="G9:G10"/>
    <mergeCell ref="W9:W10"/>
    <mergeCell ref="X9:X10"/>
    <mergeCell ref="Y9:Y10"/>
    <mergeCell ref="Q9:Q10"/>
    <mergeCell ref="R9:U9"/>
    <mergeCell ref="M9:M10"/>
    <mergeCell ref="A116:H116"/>
    <mergeCell ref="A117:H117"/>
    <mergeCell ref="A58:A60"/>
    <mergeCell ref="A104:A105"/>
    <mergeCell ref="A106:A107"/>
    <mergeCell ref="A108:A111"/>
    <mergeCell ref="A112:A113"/>
    <mergeCell ref="A114:A115"/>
    <mergeCell ref="A100:A103"/>
    <mergeCell ref="A65:A68"/>
    <mergeCell ref="B63:B64"/>
    <mergeCell ref="B75:B77"/>
    <mergeCell ref="C89:C98"/>
    <mergeCell ref="C78:C88"/>
    <mergeCell ref="N9:N10"/>
    <mergeCell ref="O9:O10"/>
    <mergeCell ref="P9:P10"/>
    <mergeCell ref="V9:V10"/>
    <mergeCell ref="H9:H10"/>
    <mergeCell ref="L9:L10"/>
    <mergeCell ref="I9:I10"/>
    <mergeCell ref="J9:J10"/>
    <mergeCell ref="K9:K10"/>
    <mergeCell ref="A12:Y12"/>
    <mergeCell ref="A27:A28"/>
    <mergeCell ref="A29:A30"/>
    <mergeCell ref="A49:A51"/>
    <mergeCell ref="A52:A54"/>
    <mergeCell ref="B41:B42"/>
    <mergeCell ref="B52:B54"/>
    <mergeCell ref="A13:A15"/>
    <mergeCell ref="B13:B15"/>
    <mergeCell ref="A39:A40"/>
    <mergeCell ref="A31:A32"/>
    <mergeCell ref="A33:A34"/>
    <mergeCell ref="A35:A36"/>
    <mergeCell ref="A37:A38"/>
    <mergeCell ref="B19:B20"/>
    <mergeCell ref="B21:B22"/>
    <mergeCell ref="A55:A57"/>
    <mergeCell ref="B104:B105"/>
    <mergeCell ref="A61:A62"/>
    <mergeCell ref="B112:B113"/>
    <mergeCell ref="B114:B115"/>
    <mergeCell ref="B106:B107"/>
    <mergeCell ref="B108:B111"/>
    <mergeCell ref="B100:B103"/>
    <mergeCell ref="A72:A74"/>
    <mergeCell ref="A99:H99"/>
    <mergeCell ref="B61:B62"/>
    <mergeCell ref="A75:A77"/>
    <mergeCell ref="B78:B98"/>
    <mergeCell ref="A69:A71"/>
    <mergeCell ref="B69:B71"/>
    <mergeCell ref="A63:A64"/>
    <mergeCell ref="B55:B57"/>
    <mergeCell ref="B65:B68"/>
    <mergeCell ref="B72:B74"/>
    <mergeCell ref="B58:B60"/>
    <mergeCell ref="B27:B28"/>
    <mergeCell ref="B31:B32"/>
    <mergeCell ref="B35:B36"/>
    <mergeCell ref="B29:B30"/>
    <mergeCell ref="B33:B34"/>
    <mergeCell ref="B37:B38"/>
    <mergeCell ref="B39:B40"/>
    <mergeCell ref="A41:A42"/>
    <mergeCell ref="A45:A46"/>
    <mergeCell ref="A43:A44"/>
    <mergeCell ref="B47:B48"/>
    <mergeCell ref="B49:B51"/>
    <mergeCell ref="B45:B46"/>
    <mergeCell ref="B43:B44"/>
    <mergeCell ref="A47:A48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</mergeCells>
  <pageMargins left="0.19685039370078741" right="0.15748031496062992" top="0.78740157480314965" bottom="0.19685039370078741" header="0.23622047244094491" footer="0.11811023622047245"/>
  <pageSetup paperSize="9" scale="46" orientation="landscape" horizontalDpi="300" verticalDpi="300" r:id="rId1"/>
  <headerFooter alignWithMargins="0"/>
  <rowBreaks count="2" manualBreakCount="2">
    <brk id="34" max="16383" man="1"/>
    <brk id="60" max="16383" man="1"/>
  </rowBreaks>
  <colBreaks count="1" manualBreakCount="1">
    <brk id="25" max="71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E107"/>
  <sheetViews>
    <sheetView showGridLines="0" view="pageBreakPreview" topLeftCell="A49" zoomScale="56" zoomScaleNormal="56" zoomScaleSheetLayoutView="56" workbookViewId="0">
      <selection activeCell="H21" sqref="H21:H25"/>
    </sheetView>
  </sheetViews>
  <sheetFormatPr defaultRowHeight="18.75" x14ac:dyDescent="0.3"/>
  <cols>
    <col min="1" max="1" width="7.28515625" style="23" customWidth="1"/>
    <col min="2" max="2" width="45" style="33" customWidth="1"/>
    <col min="3" max="3" width="14.85546875" style="33" customWidth="1"/>
    <col min="4" max="4" width="16" style="23" customWidth="1"/>
    <col min="5" max="5" width="24.5703125" style="23" customWidth="1"/>
    <col min="6" max="6" width="7.7109375" style="23" customWidth="1"/>
    <col min="7" max="7" width="8.28515625" style="23" customWidth="1"/>
    <col min="8" max="8" width="9.28515625" style="23" bestFit="1" customWidth="1"/>
    <col min="9" max="10" width="8.28515625" style="23" customWidth="1"/>
    <col min="11" max="12" width="5.5703125" style="23" customWidth="1"/>
    <col min="13" max="15" width="8.28515625" style="23" customWidth="1"/>
    <col min="16" max="17" width="9.28515625" style="23" customWidth="1"/>
    <col min="18" max="18" width="5.5703125" style="23" customWidth="1"/>
    <col min="19" max="19" width="7.28515625" style="23" customWidth="1"/>
    <col min="20" max="24" width="5.5703125" style="23" customWidth="1"/>
    <col min="25" max="25" width="11.7109375" style="23" customWidth="1"/>
    <col min="26" max="26" width="9.28515625" style="1"/>
    <col min="30" max="30" width="8.28515625" customWidth="1"/>
  </cols>
  <sheetData>
    <row r="1" spans="1:27" x14ac:dyDescent="0.3">
      <c r="A1" s="19"/>
      <c r="B1" s="445" t="s">
        <v>39</v>
      </c>
      <c r="C1" s="445"/>
      <c r="D1" s="445"/>
      <c r="E1" s="445"/>
      <c r="F1" s="445"/>
      <c r="G1" s="445"/>
      <c r="H1" s="445"/>
      <c r="I1" s="445"/>
      <c r="J1" s="445"/>
      <c r="K1" s="445"/>
      <c r="L1" s="445"/>
      <c r="M1" s="445"/>
      <c r="N1" s="445"/>
      <c r="O1" s="445"/>
      <c r="P1" s="445"/>
      <c r="Q1" s="445"/>
      <c r="R1" s="445"/>
      <c r="S1" s="445"/>
      <c r="T1" s="445"/>
      <c r="U1" s="445"/>
      <c r="V1" s="445"/>
      <c r="W1" s="445"/>
      <c r="X1" s="445"/>
      <c r="Y1" s="62" t="s">
        <v>17</v>
      </c>
    </row>
    <row r="2" spans="1:27" x14ac:dyDescent="0.3">
      <c r="A2" s="19"/>
      <c r="B2" s="445"/>
      <c r="C2" s="445"/>
      <c r="D2" s="445"/>
      <c r="E2" s="445"/>
      <c r="F2" s="445"/>
      <c r="G2" s="445"/>
      <c r="H2" s="445"/>
      <c r="I2" s="445"/>
      <c r="J2" s="445"/>
      <c r="K2" s="445"/>
      <c r="L2" s="445"/>
      <c r="M2" s="445"/>
      <c r="N2" s="445"/>
      <c r="O2" s="445"/>
      <c r="P2" s="445"/>
      <c r="Q2" s="445"/>
      <c r="R2" s="445"/>
      <c r="S2" s="445"/>
      <c r="T2" s="445"/>
      <c r="U2" s="445"/>
      <c r="V2" s="445"/>
      <c r="W2" s="445"/>
      <c r="X2" s="445"/>
      <c r="Y2" s="24"/>
    </row>
    <row r="3" spans="1:27" x14ac:dyDescent="0.3">
      <c r="A3" s="19"/>
      <c r="B3" s="31"/>
      <c r="C3" s="31"/>
      <c r="D3" s="19"/>
      <c r="E3" s="86"/>
      <c r="F3" s="86"/>
      <c r="G3" s="19"/>
      <c r="H3" s="19"/>
      <c r="I3" s="86"/>
      <c r="J3" s="86"/>
      <c r="K3" s="19"/>
      <c r="L3" s="19"/>
      <c r="M3" s="19"/>
      <c r="N3" s="19"/>
      <c r="O3" s="86"/>
      <c r="P3" s="19"/>
      <c r="Q3" s="29" t="s">
        <v>18</v>
      </c>
      <c r="R3" s="29"/>
      <c r="S3" s="29"/>
      <c r="T3" s="19"/>
      <c r="U3" s="19"/>
      <c r="V3" s="19"/>
      <c r="W3" s="19"/>
      <c r="X3" s="86"/>
      <c r="Y3" s="37"/>
    </row>
    <row r="4" spans="1:27" x14ac:dyDescent="0.3">
      <c r="A4" s="19"/>
      <c r="B4" s="31"/>
      <c r="C4" s="31"/>
      <c r="D4" s="19"/>
      <c r="E4" s="86"/>
      <c r="F4" s="86"/>
      <c r="G4" s="19"/>
      <c r="H4" s="86"/>
      <c r="I4" s="86"/>
      <c r="J4" s="86"/>
      <c r="K4" s="19"/>
      <c r="L4" s="19"/>
      <c r="M4" s="19"/>
      <c r="N4" s="19"/>
      <c r="O4" s="86"/>
      <c r="P4" s="19"/>
      <c r="Q4" s="29" t="s">
        <v>119</v>
      </c>
      <c r="R4" s="29"/>
      <c r="S4" s="29"/>
      <c r="T4" s="19"/>
      <c r="U4" s="19"/>
      <c r="V4" s="19"/>
      <c r="W4" s="19"/>
      <c r="X4" s="19"/>
      <c r="Y4" s="24"/>
    </row>
    <row r="5" spans="1:27" x14ac:dyDescent="0.3">
      <c r="A5" s="19"/>
      <c r="B5" s="31"/>
      <c r="C5" s="31"/>
      <c r="D5" s="19"/>
      <c r="E5" s="86"/>
      <c r="F5" s="86"/>
      <c r="G5" s="19"/>
      <c r="H5" s="86"/>
      <c r="I5" s="86"/>
      <c r="J5" s="86"/>
      <c r="K5" s="19"/>
      <c r="L5" s="19"/>
      <c r="M5" s="19"/>
      <c r="N5" s="19"/>
      <c r="O5" s="86"/>
      <c r="P5" s="19"/>
      <c r="Q5" s="29" t="s">
        <v>163</v>
      </c>
      <c r="R5" s="29"/>
      <c r="S5" s="29"/>
      <c r="T5" s="19"/>
      <c r="U5" s="19"/>
      <c r="V5" s="19"/>
      <c r="W5" s="19"/>
      <c r="X5" s="19"/>
      <c r="Y5" s="24"/>
    </row>
    <row r="6" spans="1:27" x14ac:dyDescent="0.3">
      <c r="A6" s="19"/>
      <c r="B6" s="31"/>
      <c r="C6" s="31"/>
      <c r="D6" s="19"/>
      <c r="E6" s="86"/>
      <c r="F6" s="86"/>
      <c r="G6" s="86"/>
      <c r="H6" s="86"/>
      <c r="I6" s="86"/>
      <c r="J6" s="86"/>
      <c r="K6" s="19"/>
      <c r="L6" s="19"/>
      <c r="M6" s="19"/>
      <c r="N6" s="19"/>
      <c r="O6" s="86"/>
      <c r="P6" s="19"/>
      <c r="Q6" s="19"/>
      <c r="R6" s="19"/>
      <c r="S6" s="19"/>
      <c r="T6" s="19"/>
      <c r="U6" s="19"/>
      <c r="V6" s="19"/>
      <c r="W6" s="19"/>
      <c r="X6" s="19"/>
      <c r="Y6" s="24"/>
    </row>
    <row r="7" spans="1:27" x14ac:dyDescent="0.3">
      <c r="A7" s="415" t="s">
        <v>279</v>
      </c>
      <c r="B7" s="415"/>
      <c r="C7" s="415"/>
      <c r="D7" s="415"/>
      <c r="E7" s="415"/>
      <c r="F7" s="415"/>
      <c r="G7" s="415"/>
      <c r="H7" s="415"/>
      <c r="I7" s="415"/>
      <c r="J7" s="415"/>
      <c r="K7" s="415"/>
      <c r="L7" s="415"/>
      <c r="M7" s="415"/>
      <c r="N7" s="415"/>
      <c r="O7" s="415"/>
      <c r="P7" s="415"/>
      <c r="Q7" s="415"/>
      <c r="R7" s="415"/>
      <c r="S7" s="415"/>
      <c r="T7" s="415"/>
      <c r="U7" s="415"/>
      <c r="V7" s="415"/>
      <c r="W7" s="415"/>
      <c r="X7" s="415"/>
      <c r="Y7" s="415"/>
    </row>
    <row r="8" spans="1:27" ht="19.5" thickBot="1" x14ac:dyDescent="0.35">
      <c r="A8" s="415" t="s">
        <v>47</v>
      </c>
      <c r="B8" s="415"/>
      <c r="C8" s="415"/>
      <c r="D8" s="415"/>
      <c r="E8" s="415"/>
      <c r="F8" s="415"/>
      <c r="G8" s="415"/>
      <c r="H8" s="415"/>
      <c r="I8" s="415"/>
      <c r="J8" s="415"/>
      <c r="K8" s="415"/>
      <c r="L8" s="415"/>
      <c r="M8" s="415"/>
      <c r="N8" s="415"/>
      <c r="O8" s="415"/>
      <c r="P8" s="415"/>
      <c r="Q8" s="415"/>
      <c r="R8" s="415"/>
      <c r="S8" s="415"/>
      <c r="T8" s="415"/>
      <c r="U8" s="415"/>
      <c r="V8" s="415"/>
      <c r="W8" s="415"/>
      <c r="X8" s="415"/>
      <c r="Y8" s="415"/>
    </row>
    <row r="9" spans="1:27" ht="18.75" customHeight="1" x14ac:dyDescent="0.2">
      <c r="A9" s="416" t="s">
        <v>19</v>
      </c>
      <c r="B9" s="446" t="s">
        <v>20</v>
      </c>
      <c r="C9" s="347"/>
      <c r="D9" s="410" t="s">
        <v>12</v>
      </c>
      <c r="E9" s="410" t="s">
        <v>13</v>
      </c>
      <c r="F9" s="410" t="s">
        <v>59</v>
      </c>
      <c r="G9" s="410" t="s">
        <v>21</v>
      </c>
      <c r="H9" s="410" t="s">
        <v>22</v>
      </c>
      <c r="I9" s="410" t="s">
        <v>23</v>
      </c>
      <c r="J9" s="410" t="s">
        <v>9</v>
      </c>
      <c r="K9" s="410" t="s">
        <v>10</v>
      </c>
      <c r="L9" s="410" t="s">
        <v>38</v>
      </c>
      <c r="M9" s="410" t="s">
        <v>14</v>
      </c>
      <c r="N9" s="410" t="s">
        <v>37</v>
      </c>
      <c r="O9" s="410" t="s">
        <v>15</v>
      </c>
      <c r="P9" s="410" t="s">
        <v>24</v>
      </c>
      <c r="Q9" s="410" t="s">
        <v>16</v>
      </c>
      <c r="R9" s="412" t="s">
        <v>25</v>
      </c>
      <c r="S9" s="412"/>
      <c r="T9" s="412"/>
      <c r="U9" s="412"/>
      <c r="V9" s="410" t="s">
        <v>36</v>
      </c>
      <c r="W9" s="410" t="s">
        <v>26</v>
      </c>
      <c r="X9" s="410" t="s">
        <v>11</v>
      </c>
      <c r="Y9" s="419" t="s">
        <v>58</v>
      </c>
    </row>
    <row r="10" spans="1:27" ht="132" customHeight="1" x14ac:dyDescent="0.2">
      <c r="A10" s="398"/>
      <c r="B10" s="401"/>
      <c r="C10" s="336"/>
      <c r="D10" s="411"/>
      <c r="E10" s="411"/>
      <c r="F10" s="411"/>
      <c r="G10" s="411"/>
      <c r="H10" s="411"/>
      <c r="I10" s="411"/>
      <c r="J10" s="411"/>
      <c r="K10" s="411"/>
      <c r="L10" s="411"/>
      <c r="M10" s="411"/>
      <c r="N10" s="411"/>
      <c r="O10" s="411"/>
      <c r="P10" s="411"/>
      <c r="Q10" s="411"/>
      <c r="R10" s="83" t="s">
        <v>28</v>
      </c>
      <c r="S10" s="83" t="s">
        <v>29</v>
      </c>
      <c r="T10" s="83" t="s">
        <v>30</v>
      </c>
      <c r="U10" s="83" t="s">
        <v>48</v>
      </c>
      <c r="V10" s="411"/>
      <c r="W10" s="411"/>
      <c r="X10" s="411"/>
      <c r="Y10" s="420"/>
    </row>
    <row r="11" spans="1:27" x14ac:dyDescent="0.2">
      <c r="A11" s="78">
        <v>1</v>
      </c>
      <c r="B11" s="125">
        <v>2</v>
      </c>
      <c r="C11" s="125"/>
      <c r="D11" s="72">
        <v>3</v>
      </c>
      <c r="E11" s="72">
        <v>4</v>
      </c>
      <c r="F11" s="72">
        <v>5</v>
      </c>
      <c r="G11" s="72">
        <v>6</v>
      </c>
      <c r="H11" s="72">
        <v>7</v>
      </c>
      <c r="I11" s="72">
        <v>8</v>
      </c>
      <c r="J11" s="72">
        <v>9</v>
      </c>
      <c r="K11" s="72">
        <v>10</v>
      </c>
      <c r="L11" s="72">
        <v>12</v>
      </c>
      <c r="M11" s="72">
        <v>11</v>
      </c>
      <c r="N11" s="72">
        <v>13</v>
      </c>
      <c r="O11" s="72">
        <v>14</v>
      </c>
      <c r="P11" s="72">
        <v>15</v>
      </c>
      <c r="Q11" s="72">
        <v>16</v>
      </c>
      <c r="R11" s="72">
        <v>17</v>
      </c>
      <c r="S11" s="72">
        <v>18</v>
      </c>
      <c r="T11" s="72">
        <v>19</v>
      </c>
      <c r="U11" s="72">
        <v>20</v>
      </c>
      <c r="V11" s="72">
        <v>21</v>
      </c>
      <c r="W11" s="72">
        <v>22</v>
      </c>
      <c r="X11" s="72">
        <v>23</v>
      </c>
      <c r="Y11" s="50">
        <v>24</v>
      </c>
    </row>
    <row r="12" spans="1:27" s="1" customFormat="1" ht="19.5" customHeight="1" x14ac:dyDescent="0.2">
      <c r="A12" s="457" t="s">
        <v>154</v>
      </c>
      <c r="B12" s="458"/>
      <c r="C12" s="458"/>
      <c r="D12" s="458"/>
      <c r="E12" s="458"/>
      <c r="F12" s="458"/>
      <c r="G12" s="458"/>
      <c r="H12" s="458"/>
      <c r="I12" s="458"/>
      <c r="J12" s="458"/>
      <c r="K12" s="458"/>
      <c r="L12" s="458"/>
      <c r="M12" s="458"/>
      <c r="N12" s="458"/>
      <c r="O12" s="458"/>
      <c r="P12" s="458"/>
      <c r="Q12" s="458"/>
      <c r="R12" s="458"/>
      <c r="S12" s="458"/>
      <c r="T12" s="458"/>
      <c r="U12" s="458"/>
      <c r="V12" s="458"/>
      <c r="W12" s="458"/>
      <c r="X12" s="458"/>
      <c r="Y12" s="459"/>
    </row>
    <row r="13" spans="1:27" s="1" customFormat="1" ht="26.25" customHeight="1" x14ac:dyDescent="0.2">
      <c r="A13" s="398">
        <v>1</v>
      </c>
      <c r="B13" s="422" t="s">
        <v>142</v>
      </c>
      <c r="C13" s="395" t="s">
        <v>675</v>
      </c>
      <c r="D13" s="176" t="s">
        <v>81</v>
      </c>
      <c r="E13" s="176" t="s">
        <v>203</v>
      </c>
      <c r="F13" s="176">
        <v>5</v>
      </c>
      <c r="G13" s="174" t="s">
        <v>35</v>
      </c>
      <c r="H13" s="244">
        <v>22</v>
      </c>
      <c r="I13" s="176">
        <v>15</v>
      </c>
      <c r="J13" s="174">
        <v>30</v>
      </c>
      <c r="K13" s="174"/>
      <c r="L13" s="174"/>
      <c r="M13" s="174">
        <v>15</v>
      </c>
      <c r="N13" s="174"/>
      <c r="O13" s="5" t="s">
        <v>398</v>
      </c>
      <c r="P13" s="5"/>
      <c r="Q13" s="174"/>
      <c r="R13" s="174"/>
      <c r="S13" s="174"/>
      <c r="T13" s="174"/>
      <c r="U13" s="174"/>
      <c r="V13" s="174"/>
      <c r="W13" s="174"/>
      <c r="X13" s="174"/>
      <c r="Y13" s="239">
        <v>2.1</v>
      </c>
      <c r="Z13" s="5" t="s">
        <v>398</v>
      </c>
      <c r="AA13" s="5"/>
    </row>
    <row r="14" spans="1:27" s="1" customFormat="1" ht="26.25" customHeight="1" x14ac:dyDescent="0.2">
      <c r="A14" s="398"/>
      <c r="B14" s="422"/>
      <c r="C14" s="396"/>
      <c r="D14" s="176" t="s">
        <v>81</v>
      </c>
      <c r="E14" s="176" t="s">
        <v>247</v>
      </c>
      <c r="F14" s="176">
        <v>5</v>
      </c>
      <c r="G14" s="174" t="s">
        <v>35</v>
      </c>
      <c r="H14" s="244">
        <v>21</v>
      </c>
      <c r="I14" s="176"/>
      <c r="J14" s="174">
        <v>30</v>
      </c>
      <c r="K14" s="174"/>
      <c r="L14" s="174"/>
      <c r="M14" s="174"/>
      <c r="N14" s="174"/>
      <c r="O14" s="5" t="s">
        <v>398</v>
      </c>
      <c r="P14" s="5"/>
      <c r="Q14" s="174"/>
      <c r="R14" s="174"/>
      <c r="S14" s="174"/>
      <c r="T14" s="174"/>
      <c r="U14" s="174"/>
      <c r="V14" s="174"/>
      <c r="W14" s="174"/>
      <c r="X14" s="174"/>
      <c r="Y14" s="239">
        <v>1.1000000000000001</v>
      </c>
      <c r="Z14" s="5" t="s">
        <v>398</v>
      </c>
      <c r="AA14" s="5"/>
    </row>
    <row r="15" spans="1:27" s="1" customFormat="1" ht="26.25" customHeight="1" x14ac:dyDescent="0.2">
      <c r="A15" s="398"/>
      <c r="B15" s="422"/>
      <c r="C15" s="396"/>
      <c r="D15" s="176" t="s">
        <v>81</v>
      </c>
      <c r="E15" s="176" t="s">
        <v>248</v>
      </c>
      <c r="F15" s="176">
        <v>5</v>
      </c>
      <c r="G15" s="174" t="s">
        <v>35</v>
      </c>
      <c r="H15" s="244">
        <v>29</v>
      </c>
      <c r="I15" s="176"/>
      <c r="J15" s="174">
        <v>30</v>
      </c>
      <c r="K15" s="174"/>
      <c r="L15" s="174"/>
      <c r="M15" s="174"/>
      <c r="N15" s="174"/>
      <c r="O15" s="5" t="s">
        <v>398</v>
      </c>
      <c r="P15" s="5"/>
      <c r="Q15" s="174"/>
      <c r="R15" s="174"/>
      <c r="S15" s="174"/>
      <c r="T15" s="174"/>
      <c r="U15" s="174"/>
      <c r="V15" s="174"/>
      <c r="W15" s="174"/>
      <c r="X15" s="174"/>
      <c r="Y15" s="239">
        <v>1.1000000000000001</v>
      </c>
      <c r="Z15" s="5" t="s">
        <v>398</v>
      </c>
      <c r="AA15" s="5"/>
    </row>
    <row r="16" spans="1:27" s="1" customFormat="1" ht="26.25" customHeight="1" x14ac:dyDescent="0.2">
      <c r="A16" s="398"/>
      <c r="B16" s="422"/>
      <c r="C16" s="397"/>
      <c r="D16" s="176" t="s">
        <v>81</v>
      </c>
      <c r="E16" s="176" t="s">
        <v>202</v>
      </c>
      <c r="F16" s="176">
        <v>5</v>
      </c>
      <c r="G16" s="174" t="s">
        <v>32</v>
      </c>
      <c r="H16" s="244">
        <v>18</v>
      </c>
      <c r="I16" s="176">
        <v>15</v>
      </c>
      <c r="J16" s="174">
        <v>30</v>
      </c>
      <c r="K16" s="174"/>
      <c r="L16" s="174"/>
      <c r="M16" s="174">
        <v>15</v>
      </c>
      <c r="N16" s="174"/>
      <c r="O16" s="5" t="s">
        <v>395</v>
      </c>
      <c r="P16" s="5"/>
      <c r="Q16" s="174"/>
      <c r="R16" s="174"/>
      <c r="S16" s="174"/>
      <c r="T16" s="174"/>
      <c r="U16" s="174"/>
      <c r="V16" s="174"/>
      <c r="W16" s="174"/>
      <c r="X16" s="174"/>
      <c r="Y16" s="239">
        <v>2.1</v>
      </c>
      <c r="Z16" s="5" t="s">
        <v>395</v>
      </c>
      <c r="AA16" s="5"/>
    </row>
    <row r="17" spans="1:27" s="1" customFormat="1" ht="26.25" customHeight="1" x14ac:dyDescent="0.3">
      <c r="A17" s="398">
        <v>2</v>
      </c>
      <c r="B17" s="422" t="s">
        <v>138</v>
      </c>
      <c r="C17" s="340"/>
      <c r="D17" s="176" t="s">
        <v>81</v>
      </c>
      <c r="E17" s="176" t="s">
        <v>204</v>
      </c>
      <c r="F17" s="176">
        <v>3</v>
      </c>
      <c r="G17" s="176" t="s">
        <v>35</v>
      </c>
      <c r="H17" s="176">
        <v>25</v>
      </c>
      <c r="I17" s="174">
        <v>30</v>
      </c>
      <c r="J17" s="174">
        <v>15</v>
      </c>
      <c r="K17" s="174"/>
      <c r="L17" s="174"/>
      <c r="M17" s="174">
        <v>15</v>
      </c>
      <c r="N17" s="174"/>
      <c r="O17" s="5" t="s">
        <v>390</v>
      </c>
      <c r="P17" s="5"/>
      <c r="Q17" s="174"/>
      <c r="R17" s="174"/>
      <c r="S17" s="174"/>
      <c r="T17" s="174"/>
      <c r="U17" s="174"/>
      <c r="V17" s="174"/>
      <c r="W17" s="176"/>
      <c r="X17" s="243"/>
      <c r="Y17" s="244">
        <v>2.1</v>
      </c>
      <c r="Z17" s="5" t="s">
        <v>390</v>
      </c>
      <c r="AA17" s="5"/>
    </row>
    <row r="18" spans="1:27" s="1" customFormat="1" ht="26.25" customHeight="1" x14ac:dyDescent="0.3">
      <c r="A18" s="398"/>
      <c r="B18" s="422"/>
      <c r="C18" s="340"/>
      <c r="D18" s="176" t="s">
        <v>81</v>
      </c>
      <c r="E18" s="176" t="s">
        <v>205</v>
      </c>
      <c r="F18" s="176">
        <v>3</v>
      </c>
      <c r="G18" s="176" t="s">
        <v>35</v>
      </c>
      <c r="H18" s="176">
        <v>26</v>
      </c>
      <c r="I18" s="174"/>
      <c r="J18" s="174">
        <v>15</v>
      </c>
      <c r="K18" s="174"/>
      <c r="L18" s="174"/>
      <c r="M18" s="174"/>
      <c r="N18" s="174"/>
      <c r="O18" s="5" t="s">
        <v>390</v>
      </c>
      <c r="P18" s="5"/>
      <c r="Q18" s="174"/>
      <c r="R18" s="174"/>
      <c r="S18" s="174"/>
      <c r="T18" s="174"/>
      <c r="U18" s="174"/>
      <c r="V18" s="174"/>
      <c r="W18" s="176"/>
      <c r="X18" s="243"/>
      <c r="Y18" s="244">
        <v>0.6</v>
      </c>
      <c r="Z18" s="5" t="s">
        <v>390</v>
      </c>
      <c r="AA18" s="5"/>
    </row>
    <row r="19" spans="1:27" s="1" customFormat="1" ht="26.25" customHeight="1" x14ac:dyDescent="0.3">
      <c r="A19" s="398"/>
      <c r="B19" s="422"/>
      <c r="C19" s="340"/>
      <c r="D19" s="176" t="s">
        <v>81</v>
      </c>
      <c r="E19" s="176" t="s">
        <v>206</v>
      </c>
      <c r="F19" s="176">
        <v>3</v>
      </c>
      <c r="G19" s="176" t="s">
        <v>35</v>
      </c>
      <c r="H19" s="176">
        <v>25</v>
      </c>
      <c r="I19" s="174"/>
      <c r="J19" s="174">
        <v>15</v>
      </c>
      <c r="K19" s="174"/>
      <c r="L19" s="174"/>
      <c r="M19" s="174"/>
      <c r="N19" s="174"/>
      <c r="O19" s="5" t="s">
        <v>390</v>
      </c>
      <c r="P19" s="5"/>
      <c r="Q19" s="174"/>
      <c r="R19" s="174"/>
      <c r="S19" s="174"/>
      <c r="T19" s="174"/>
      <c r="U19" s="174"/>
      <c r="V19" s="174"/>
      <c r="W19" s="176"/>
      <c r="X19" s="243"/>
      <c r="Y19" s="244">
        <v>0.6</v>
      </c>
      <c r="Z19" s="5" t="s">
        <v>390</v>
      </c>
      <c r="AA19" s="5"/>
    </row>
    <row r="20" spans="1:27" s="1" customFormat="1" ht="26.25" customHeight="1" x14ac:dyDescent="0.3">
      <c r="A20" s="398"/>
      <c r="B20" s="422"/>
      <c r="C20" s="340"/>
      <c r="D20" s="176" t="s">
        <v>81</v>
      </c>
      <c r="E20" s="176" t="s">
        <v>283</v>
      </c>
      <c r="F20" s="174">
        <v>3</v>
      </c>
      <c r="G20" s="176" t="s">
        <v>32</v>
      </c>
      <c r="H20" s="174">
        <v>23</v>
      </c>
      <c r="I20" s="174">
        <v>30</v>
      </c>
      <c r="J20" s="174">
        <v>15</v>
      </c>
      <c r="K20" s="174"/>
      <c r="L20" s="174"/>
      <c r="M20" s="174">
        <v>15</v>
      </c>
      <c r="N20" s="174"/>
      <c r="O20" s="5" t="s">
        <v>396</v>
      </c>
      <c r="P20" s="5"/>
      <c r="Q20" s="174"/>
      <c r="R20" s="174"/>
      <c r="S20" s="174"/>
      <c r="T20" s="174"/>
      <c r="U20" s="174"/>
      <c r="V20" s="174"/>
      <c r="W20" s="176"/>
      <c r="X20" s="243"/>
      <c r="Y20" s="244">
        <v>2.1</v>
      </c>
      <c r="Z20" s="5" t="s">
        <v>396</v>
      </c>
      <c r="AA20" s="5"/>
    </row>
    <row r="21" spans="1:27" s="1" customFormat="1" ht="29.25" customHeight="1" x14ac:dyDescent="0.2">
      <c r="A21" s="454">
        <v>3</v>
      </c>
      <c r="B21" s="463" t="s">
        <v>351</v>
      </c>
      <c r="C21" s="442" t="s">
        <v>674</v>
      </c>
      <c r="D21" s="182" t="s">
        <v>81</v>
      </c>
      <c r="E21" s="182" t="s">
        <v>304</v>
      </c>
      <c r="F21" s="182">
        <v>5</v>
      </c>
      <c r="G21" s="183" t="s">
        <v>35</v>
      </c>
      <c r="H21" s="183">
        <v>30</v>
      </c>
      <c r="I21" s="183">
        <v>30</v>
      </c>
      <c r="J21" s="183">
        <v>15</v>
      </c>
      <c r="K21" s="98"/>
      <c r="L21" s="98"/>
      <c r="M21" s="98">
        <v>7</v>
      </c>
      <c r="N21" s="98"/>
      <c r="O21" s="5" t="s">
        <v>397</v>
      </c>
      <c r="P21" s="5"/>
      <c r="Q21" s="98"/>
      <c r="R21" s="98"/>
      <c r="S21" s="98"/>
      <c r="T21" s="98"/>
      <c r="U21" s="98"/>
      <c r="V21" s="98"/>
      <c r="W21" s="98"/>
      <c r="X21" s="98"/>
      <c r="Y21" s="36">
        <v>1.2</v>
      </c>
      <c r="Z21" s="5" t="s">
        <v>397</v>
      </c>
      <c r="AA21" s="5"/>
    </row>
    <row r="22" spans="1:27" s="1" customFormat="1" ht="29.25" customHeight="1" x14ac:dyDescent="0.2">
      <c r="A22" s="455"/>
      <c r="B22" s="464"/>
      <c r="C22" s="443"/>
      <c r="D22" s="182" t="s">
        <v>81</v>
      </c>
      <c r="E22" s="182" t="s">
        <v>527</v>
      </c>
      <c r="F22" s="182">
        <v>5</v>
      </c>
      <c r="G22" s="183" t="s">
        <v>35</v>
      </c>
      <c r="H22" s="183">
        <v>30</v>
      </c>
      <c r="I22" s="183"/>
      <c r="J22" s="183">
        <v>15</v>
      </c>
      <c r="K22" s="183"/>
      <c r="L22" s="183"/>
      <c r="M22" s="183"/>
      <c r="N22" s="183"/>
      <c r="O22" s="5" t="s">
        <v>397</v>
      </c>
      <c r="P22" s="5"/>
      <c r="Q22" s="183"/>
      <c r="R22" s="183"/>
      <c r="S22" s="183"/>
      <c r="T22" s="183"/>
      <c r="U22" s="183"/>
      <c r="V22" s="183"/>
      <c r="W22" s="183"/>
      <c r="X22" s="183"/>
      <c r="Y22" s="36"/>
      <c r="Z22" s="5" t="s">
        <v>397</v>
      </c>
      <c r="AA22" s="5"/>
    </row>
    <row r="23" spans="1:27" s="1" customFormat="1" ht="29.25" customHeight="1" x14ac:dyDescent="0.2">
      <c r="A23" s="455"/>
      <c r="B23" s="464"/>
      <c r="C23" s="443"/>
      <c r="D23" s="182" t="s">
        <v>81</v>
      </c>
      <c r="E23" s="182" t="s">
        <v>528</v>
      </c>
      <c r="F23" s="182">
        <v>5</v>
      </c>
      <c r="G23" s="183" t="s">
        <v>35</v>
      </c>
      <c r="H23" s="183">
        <v>30</v>
      </c>
      <c r="I23" s="183"/>
      <c r="J23" s="183">
        <v>15</v>
      </c>
      <c r="K23" s="183"/>
      <c r="L23" s="183"/>
      <c r="M23" s="183"/>
      <c r="N23" s="183"/>
      <c r="O23" s="5" t="s">
        <v>397</v>
      </c>
      <c r="P23" s="5"/>
      <c r="Q23" s="183"/>
      <c r="R23" s="183"/>
      <c r="S23" s="183"/>
      <c r="T23" s="183"/>
      <c r="U23" s="183"/>
      <c r="V23" s="183"/>
      <c r="W23" s="183"/>
      <c r="X23" s="183"/>
      <c r="Y23" s="36"/>
      <c r="Z23" s="5" t="s">
        <v>397</v>
      </c>
      <c r="AA23" s="5"/>
    </row>
    <row r="24" spans="1:27" s="1" customFormat="1" ht="29.25" customHeight="1" x14ac:dyDescent="0.2">
      <c r="A24" s="455"/>
      <c r="B24" s="464"/>
      <c r="C24" s="443"/>
      <c r="D24" s="182" t="s">
        <v>81</v>
      </c>
      <c r="E24" s="182" t="s">
        <v>529</v>
      </c>
      <c r="F24" s="182">
        <v>5</v>
      </c>
      <c r="G24" s="183" t="s">
        <v>35</v>
      </c>
      <c r="H24" s="183">
        <v>30</v>
      </c>
      <c r="I24" s="183"/>
      <c r="J24" s="183">
        <v>15</v>
      </c>
      <c r="K24" s="183"/>
      <c r="L24" s="183"/>
      <c r="M24" s="183"/>
      <c r="N24" s="183"/>
      <c r="O24" s="5" t="s">
        <v>397</v>
      </c>
      <c r="P24" s="5"/>
      <c r="Q24" s="183"/>
      <c r="R24" s="183"/>
      <c r="S24" s="183"/>
      <c r="T24" s="183"/>
      <c r="U24" s="183"/>
      <c r="V24" s="183"/>
      <c r="W24" s="183"/>
      <c r="X24" s="183"/>
      <c r="Y24" s="36"/>
      <c r="Z24" s="5" t="s">
        <v>397</v>
      </c>
      <c r="AA24" s="5"/>
    </row>
    <row r="25" spans="1:27" s="1" customFormat="1" ht="29.25" customHeight="1" x14ac:dyDescent="0.2">
      <c r="A25" s="455"/>
      <c r="B25" s="464"/>
      <c r="C25" s="443"/>
      <c r="D25" s="182" t="s">
        <v>81</v>
      </c>
      <c r="E25" s="182" t="s">
        <v>530</v>
      </c>
      <c r="F25" s="182">
        <v>5</v>
      </c>
      <c r="G25" s="183" t="s">
        <v>35</v>
      </c>
      <c r="H25" s="183">
        <v>30</v>
      </c>
      <c r="I25" s="183"/>
      <c r="J25" s="183">
        <v>15</v>
      </c>
      <c r="K25" s="183"/>
      <c r="L25" s="183"/>
      <c r="M25" s="183"/>
      <c r="N25" s="183"/>
      <c r="O25" s="5" t="s">
        <v>397</v>
      </c>
      <c r="P25" s="5"/>
      <c r="Q25" s="183"/>
      <c r="R25" s="183"/>
      <c r="S25" s="183"/>
      <c r="T25" s="183"/>
      <c r="U25" s="183"/>
      <c r="V25" s="183"/>
      <c r="W25" s="183"/>
      <c r="X25" s="183"/>
      <c r="Y25" s="36"/>
      <c r="Z25" s="5" t="s">
        <v>397</v>
      </c>
      <c r="AA25" s="5"/>
    </row>
    <row r="26" spans="1:27" s="1" customFormat="1" ht="29.25" customHeight="1" x14ac:dyDescent="0.2">
      <c r="A26" s="456"/>
      <c r="B26" s="465"/>
      <c r="C26" s="444"/>
      <c r="D26" s="99" t="s">
        <v>81</v>
      </c>
      <c r="E26" s="107" t="s">
        <v>311</v>
      </c>
      <c r="F26" s="99">
        <v>3</v>
      </c>
      <c r="G26" s="98" t="s">
        <v>32</v>
      </c>
      <c r="H26" s="99">
        <v>14</v>
      </c>
      <c r="I26" s="98">
        <v>15</v>
      </c>
      <c r="J26" s="98">
        <v>15</v>
      </c>
      <c r="K26" s="98"/>
      <c r="L26" s="98"/>
      <c r="M26" s="98">
        <v>7</v>
      </c>
      <c r="N26" s="98"/>
      <c r="O26" s="5" t="s">
        <v>387</v>
      </c>
      <c r="P26" s="5"/>
      <c r="Q26" s="98"/>
      <c r="R26" s="98"/>
      <c r="S26" s="98"/>
      <c r="T26" s="98"/>
      <c r="U26" s="98"/>
      <c r="V26" s="98"/>
      <c r="W26" s="98"/>
      <c r="X26" s="98"/>
      <c r="Y26" s="36">
        <v>1.2</v>
      </c>
      <c r="Z26" s="5" t="s">
        <v>387</v>
      </c>
      <c r="AA26" s="5"/>
    </row>
    <row r="27" spans="1:27" s="1" customFormat="1" ht="29.25" customHeight="1" x14ac:dyDescent="0.3">
      <c r="A27" s="454">
        <v>4</v>
      </c>
      <c r="B27" s="463" t="s">
        <v>352</v>
      </c>
      <c r="C27" s="442" t="s">
        <v>674</v>
      </c>
      <c r="D27" s="182" t="s">
        <v>81</v>
      </c>
      <c r="E27" s="182" t="s">
        <v>304</v>
      </c>
      <c r="F27" s="182">
        <v>5</v>
      </c>
      <c r="G27" s="183" t="s">
        <v>35</v>
      </c>
      <c r="H27" s="183">
        <v>30</v>
      </c>
      <c r="I27" s="183">
        <v>30</v>
      </c>
      <c r="J27" s="183">
        <v>15</v>
      </c>
      <c r="K27" s="98"/>
      <c r="L27" s="98"/>
      <c r="M27" s="98">
        <v>15</v>
      </c>
      <c r="N27" s="98"/>
      <c r="O27" s="5" t="s">
        <v>399</v>
      </c>
      <c r="P27" s="5"/>
      <c r="Q27" s="98"/>
      <c r="R27" s="98"/>
      <c r="S27" s="98"/>
      <c r="T27" s="98"/>
      <c r="U27" s="98"/>
      <c r="V27" s="98"/>
      <c r="W27" s="99"/>
      <c r="X27" s="42"/>
      <c r="Y27" s="100">
        <v>2.1</v>
      </c>
      <c r="Z27" s="5" t="s">
        <v>399</v>
      </c>
      <c r="AA27" s="5"/>
    </row>
    <row r="28" spans="1:27" s="1" customFormat="1" ht="29.25" customHeight="1" x14ac:dyDescent="0.3">
      <c r="A28" s="455"/>
      <c r="B28" s="464"/>
      <c r="C28" s="443"/>
      <c r="D28" s="182" t="s">
        <v>81</v>
      </c>
      <c r="E28" s="182" t="s">
        <v>527</v>
      </c>
      <c r="F28" s="182">
        <v>5</v>
      </c>
      <c r="G28" s="183" t="s">
        <v>35</v>
      </c>
      <c r="H28" s="183">
        <v>30</v>
      </c>
      <c r="I28" s="183"/>
      <c r="J28" s="183">
        <v>15</v>
      </c>
      <c r="K28" s="183"/>
      <c r="L28" s="183"/>
      <c r="M28" s="183"/>
      <c r="N28" s="183"/>
      <c r="O28" s="5" t="s">
        <v>388</v>
      </c>
      <c r="P28" s="5"/>
      <c r="Q28" s="183"/>
      <c r="R28" s="183"/>
      <c r="S28" s="183"/>
      <c r="T28" s="183"/>
      <c r="U28" s="183"/>
      <c r="V28" s="183"/>
      <c r="W28" s="182"/>
      <c r="X28" s="42"/>
      <c r="Y28" s="100"/>
      <c r="Z28" s="5" t="s">
        <v>388</v>
      </c>
      <c r="AA28" s="5"/>
    </row>
    <row r="29" spans="1:27" s="1" customFormat="1" ht="29.25" customHeight="1" x14ac:dyDescent="0.3">
      <c r="A29" s="455"/>
      <c r="B29" s="464"/>
      <c r="C29" s="443"/>
      <c r="D29" s="182" t="s">
        <v>81</v>
      </c>
      <c r="E29" s="182" t="s">
        <v>528</v>
      </c>
      <c r="F29" s="182">
        <v>5</v>
      </c>
      <c r="G29" s="183" t="s">
        <v>35</v>
      </c>
      <c r="H29" s="183">
        <v>30</v>
      </c>
      <c r="I29" s="183"/>
      <c r="J29" s="183">
        <v>15</v>
      </c>
      <c r="K29" s="183"/>
      <c r="L29" s="183"/>
      <c r="M29" s="183"/>
      <c r="N29" s="183"/>
      <c r="O29" s="5" t="s">
        <v>388</v>
      </c>
      <c r="P29" s="5"/>
      <c r="Q29" s="183"/>
      <c r="R29" s="183"/>
      <c r="S29" s="183"/>
      <c r="T29" s="183"/>
      <c r="U29" s="183"/>
      <c r="V29" s="183"/>
      <c r="W29" s="182"/>
      <c r="X29" s="42"/>
      <c r="Y29" s="100"/>
      <c r="Z29" s="5" t="s">
        <v>388</v>
      </c>
      <c r="AA29" s="5"/>
    </row>
    <row r="30" spans="1:27" s="1" customFormat="1" ht="29.25" customHeight="1" x14ac:dyDescent="0.3">
      <c r="A30" s="455"/>
      <c r="B30" s="464"/>
      <c r="C30" s="443"/>
      <c r="D30" s="182" t="s">
        <v>81</v>
      </c>
      <c r="E30" s="182" t="s">
        <v>529</v>
      </c>
      <c r="F30" s="182">
        <v>5</v>
      </c>
      <c r="G30" s="183" t="s">
        <v>35</v>
      </c>
      <c r="H30" s="183">
        <v>30</v>
      </c>
      <c r="I30" s="183"/>
      <c r="J30" s="183">
        <v>15</v>
      </c>
      <c r="K30" s="183"/>
      <c r="L30" s="183"/>
      <c r="M30" s="183"/>
      <c r="N30" s="183"/>
      <c r="O30" s="5" t="s">
        <v>388</v>
      </c>
      <c r="P30" s="5"/>
      <c r="Q30" s="183"/>
      <c r="R30" s="183"/>
      <c r="S30" s="183"/>
      <c r="T30" s="183"/>
      <c r="U30" s="183"/>
      <c r="V30" s="183"/>
      <c r="W30" s="182"/>
      <c r="X30" s="42"/>
      <c r="Y30" s="100"/>
      <c r="Z30" s="5" t="s">
        <v>388</v>
      </c>
      <c r="AA30" s="5"/>
    </row>
    <row r="31" spans="1:27" s="1" customFormat="1" ht="29.25" customHeight="1" x14ac:dyDescent="0.3">
      <c r="A31" s="455"/>
      <c r="B31" s="464"/>
      <c r="C31" s="443"/>
      <c r="D31" s="182" t="s">
        <v>81</v>
      </c>
      <c r="E31" s="182" t="s">
        <v>530</v>
      </c>
      <c r="F31" s="182">
        <v>5</v>
      </c>
      <c r="G31" s="183" t="s">
        <v>35</v>
      </c>
      <c r="H31" s="183">
        <v>30</v>
      </c>
      <c r="I31" s="183"/>
      <c r="J31" s="183">
        <v>15</v>
      </c>
      <c r="K31" s="183"/>
      <c r="L31" s="183"/>
      <c r="M31" s="183"/>
      <c r="N31" s="183"/>
      <c r="O31" s="5" t="s">
        <v>388</v>
      </c>
      <c r="P31" s="5"/>
      <c r="Q31" s="183"/>
      <c r="R31" s="183"/>
      <c r="S31" s="183"/>
      <c r="T31" s="183"/>
      <c r="U31" s="183"/>
      <c r="V31" s="183"/>
      <c r="W31" s="182"/>
      <c r="X31" s="42"/>
      <c r="Y31" s="100"/>
      <c r="Z31" s="5" t="s">
        <v>388</v>
      </c>
      <c r="AA31" s="5"/>
    </row>
    <row r="32" spans="1:27" s="1" customFormat="1" ht="29.25" customHeight="1" x14ac:dyDescent="0.3">
      <c r="A32" s="456"/>
      <c r="B32" s="465"/>
      <c r="C32" s="444"/>
      <c r="D32" s="99" t="s">
        <v>81</v>
      </c>
      <c r="E32" s="99" t="s">
        <v>311</v>
      </c>
      <c r="F32" s="99">
        <v>5</v>
      </c>
      <c r="G32" s="98" t="s">
        <v>32</v>
      </c>
      <c r="H32" s="99">
        <v>14</v>
      </c>
      <c r="I32" s="98">
        <v>30</v>
      </c>
      <c r="J32" s="98">
        <v>15</v>
      </c>
      <c r="K32" s="98"/>
      <c r="L32" s="98"/>
      <c r="M32" s="98">
        <v>15</v>
      </c>
      <c r="N32" s="98"/>
      <c r="O32" s="5" t="s">
        <v>400</v>
      </c>
      <c r="P32" s="5"/>
      <c r="Q32" s="98"/>
      <c r="R32" s="98"/>
      <c r="S32" s="98"/>
      <c r="T32" s="98"/>
      <c r="U32" s="98"/>
      <c r="V32" s="98"/>
      <c r="W32" s="99"/>
      <c r="X32" s="42"/>
      <c r="Y32" s="100">
        <v>2.1</v>
      </c>
      <c r="Z32" s="5" t="s">
        <v>400</v>
      </c>
      <c r="AA32" s="5"/>
    </row>
    <row r="33" spans="1:27" s="1" customFormat="1" ht="29.25" customHeight="1" x14ac:dyDescent="0.3">
      <c r="A33" s="454">
        <v>5</v>
      </c>
      <c r="B33" s="463" t="s">
        <v>353</v>
      </c>
      <c r="C33" s="442" t="s">
        <v>674</v>
      </c>
      <c r="D33" s="99" t="s">
        <v>81</v>
      </c>
      <c r="E33" s="99" t="s">
        <v>304</v>
      </c>
      <c r="F33" s="99">
        <v>5</v>
      </c>
      <c r="G33" s="98" t="s">
        <v>35</v>
      </c>
      <c r="H33" s="183">
        <v>30</v>
      </c>
      <c r="I33" s="98">
        <v>30</v>
      </c>
      <c r="J33" s="98">
        <v>15</v>
      </c>
      <c r="K33" s="98"/>
      <c r="L33" s="98"/>
      <c r="M33" s="98">
        <v>15</v>
      </c>
      <c r="N33" s="98"/>
      <c r="O33" s="5" t="s">
        <v>386</v>
      </c>
      <c r="P33" s="5"/>
      <c r="Q33" s="98"/>
      <c r="R33" s="98"/>
      <c r="S33" s="98"/>
      <c r="T33" s="98"/>
      <c r="U33" s="98"/>
      <c r="V33" s="98"/>
      <c r="W33" s="99"/>
      <c r="X33" s="42"/>
      <c r="Y33" s="100">
        <v>2.1</v>
      </c>
      <c r="Z33" s="5" t="s">
        <v>386</v>
      </c>
      <c r="AA33" s="5"/>
    </row>
    <row r="34" spans="1:27" s="1" customFormat="1" ht="29.25" customHeight="1" x14ac:dyDescent="0.3">
      <c r="A34" s="455"/>
      <c r="B34" s="464"/>
      <c r="C34" s="443"/>
      <c r="D34" s="182" t="s">
        <v>81</v>
      </c>
      <c r="E34" s="182" t="s">
        <v>527</v>
      </c>
      <c r="F34" s="182">
        <v>5</v>
      </c>
      <c r="G34" s="183" t="s">
        <v>35</v>
      </c>
      <c r="H34" s="183">
        <v>30</v>
      </c>
      <c r="I34" s="183"/>
      <c r="J34" s="183">
        <v>15</v>
      </c>
      <c r="K34" s="183"/>
      <c r="L34" s="183"/>
      <c r="M34" s="183"/>
      <c r="N34" s="183"/>
      <c r="O34" s="5" t="s">
        <v>386</v>
      </c>
      <c r="P34" s="5"/>
      <c r="Q34" s="183"/>
      <c r="R34" s="183"/>
      <c r="S34" s="183"/>
      <c r="T34" s="183"/>
      <c r="U34" s="183"/>
      <c r="V34" s="183"/>
      <c r="W34" s="182"/>
      <c r="X34" s="42"/>
      <c r="Y34" s="100"/>
      <c r="Z34" s="5" t="s">
        <v>386</v>
      </c>
      <c r="AA34" s="5"/>
    </row>
    <row r="35" spans="1:27" s="1" customFormat="1" ht="29.25" customHeight="1" x14ac:dyDescent="0.3">
      <c r="A35" s="455"/>
      <c r="B35" s="464"/>
      <c r="C35" s="443"/>
      <c r="D35" s="182" t="s">
        <v>81</v>
      </c>
      <c r="E35" s="182" t="s">
        <v>528</v>
      </c>
      <c r="F35" s="182">
        <v>5</v>
      </c>
      <c r="G35" s="183" t="s">
        <v>35</v>
      </c>
      <c r="H35" s="183">
        <v>30</v>
      </c>
      <c r="I35" s="183"/>
      <c r="J35" s="183">
        <v>15</v>
      </c>
      <c r="K35" s="183"/>
      <c r="L35" s="183"/>
      <c r="M35" s="183"/>
      <c r="N35" s="183"/>
      <c r="O35" s="5" t="s">
        <v>386</v>
      </c>
      <c r="P35" s="5"/>
      <c r="Q35" s="183"/>
      <c r="R35" s="183"/>
      <c r="S35" s="183"/>
      <c r="T35" s="183"/>
      <c r="U35" s="183"/>
      <c r="V35" s="183"/>
      <c r="W35" s="182"/>
      <c r="X35" s="42"/>
      <c r="Y35" s="100"/>
      <c r="Z35" s="5" t="s">
        <v>386</v>
      </c>
      <c r="AA35" s="5"/>
    </row>
    <row r="36" spans="1:27" s="1" customFormat="1" ht="29.25" customHeight="1" x14ac:dyDescent="0.3">
      <c r="A36" s="455"/>
      <c r="B36" s="464"/>
      <c r="C36" s="443"/>
      <c r="D36" s="182" t="s">
        <v>81</v>
      </c>
      <c r="E36" s="182" t="s">
        <v>529</v>
      </c>
      <c r="F36" s="182">
        <v>5</v>
      </c>
      <c r="G36" s="183" t="s">
        <v>35</v>
      </c>
      <c r="H36" s="183">
        <v>30</v>
      </c>
      <c r="I36" s="183"/>
      <c r="J36" s="183">
        <v>15</v>
      </c>
      <c r="K36" s="183"/>
      <c r="L36" s="183"/>
      <c r="M36" s="183"/>
      <c r="N36" s="183"/>
      <c r="O36" s="5" t="s">
        <v>386</v>
      </c>
      <c r="P36" s="5"/>
      <c r="Q36" s="183"/>
      <c r="R36" s="183"/>
      <c r="S36" s="183"/>
      <c r="T36" s="183"/>
      <c r="U36" s="183"/>
      <c r="V36" s="183"/>
      <c r="W36" s="182"/>
      <c r="X36" s="42"/>
      <c r="Y36" s="100"/>
      <c r="Z36" s="5" t="s">
        <v>386</v>
      </c>
      <c r="AA36" s="5"/>
    </row>
    <row r="37" spans="1:27" s="1" customFormat="1" ht="29.25" customHeight="1" x14ac:dyDescent="0.3">
      <c r="A37" s="455"/>
      <c r="B37" s="464"/>
      <c r="C37" s="443"/>
      <c r="D37" s="182" t="s">
        <v>81</v>
      </c>
      <c r="E37" s="182" t="s">
        <v>530</v>
      </c>
      <c r="F37" s="182">
        <v>5</v>
      </c>
      <c r="G37" s="183" t="s">
        <v>35</v>
      </c>
      <c r="H37" s="183">
        <v>30</v>
      </c>
      <c r="I37" s="183"/>
      <c r="J37" s="183">
        <v>15</v>
      </c>
      <c r="K37" s="183"/>
      <c r="L37" s="183"/>
      <c r="M37" s="183"/>
      <c r="N37" s="183"/>
      <c r="O37" s="5" t="s">
        <v>386</v>
      </c>
      <c r="P37" s="5"/>
      <c r="Q37" s="183"/>
      <c r="R37" s="183"/>
      <c r="S37" s="183"/>
      <c r="T37" s="183"/>
      <c r="U37" s="183"/>
      <c r="V37" s="183"/>
      <c r="W37" s="182"/>
      <c r="X37" s="42"/>
      <c r="Y37" s="100"/>
      <c r="Z37" s="5" t="s">
        <v>386</v>
      </c>
      <c r="AA37" s="5"/>
    </row>
    <row r="38" spans="1:27" s="1" customFormat="1" ht="29.25" customHeight="1" x14ac:dyDescent="0.3">
      <c r="A38" s="456"/>
      <c r="B38" s="465"/>
      <c r="C38" s="444"/>
      <c r="D38" s="99" t="s">
        <v>81</v>
      </c>
      <c r="E38" s="99" t="s">
        <v>311</v>
      </c>
      <c r="F38" s="99">
        <v>5</v>
      </c>
      <c r="G38" s="98" t="s">
        <v>32</v>
      </c>
      <c r="H38" s="99">
        <v>14</v>
      </c>
      <c r="I38" s="98">
        <v>30</v>
      </c>
      <c r="J38" s="98">
        <v>15</v>
      </c>
      <c r="K38" s="98"/>
      <c r="L38" s="98"/>
      <c r="M38" s="98">
        <v>15</v>
      </c>
      <c r="N38" s="98"/>
      <c r="O38" s="5" t="s">
        <v>396</v>
      </c>
      <c r="P38" s="5"/>
      <c r="Q38" s="98"/>
      <c r="R38" s="98"/>
      <c r="S38" s="98"/>
      <c r="T38" s="98"/>
      <c r="U38" s="98"/>
      <c r="V38" s="98"/>
      <c r="W38" s="99"/>
      <c r="X38" s="42"/>
      <c r="Y38" s="100">
        <v>2.1</v>
      </c>
      <c r="Z38" s="5" t="s">
        <v>396</v>
      </c>
      <c r="AA38" s="5"/>
    </row>
    <row r="39" spans="1:27" s="1" customFormat="1" ht="31.5" customHeight="1" x14ac:dyDescent="0.3">
      <c r="A39" s="454">
        <v>6</v>
      </c>
      <c r="B39" s="404" t="s">
        <v>284</v>
      </c>
      <c r="C39" s="344"/>
      <c r="D39" s="176" t="s">
        <v>81</v>
      </c>
      <c r="E39" s="176" t="s">
        <v>204</v>
      </c>
      <c r="F39" s="176">
        <v>3</v>
      </c>
      <c r="G39" s="176" t="s">
        <v>35</v>
      </c>
      <c r="H39" s="176">
        <v>25</v>
      </c>
      <c r="I39" s="174">
        <v>30</v>
      </c>
      <c r="J39" s="174">
        <v>15</v>
      </c>
      <c r="K39" s="174"/>
      <c r="L39" s="174"/>
      <c r="M39" s="174">
        <v>15</v>
      </c>
      <c r="N39" s="174"/>
      <c r="O39" s="5" t="s">
        <v>388</v>
      </c>
      <c r="P39" s="5"/>
      <c r="Q39" s="174"/>
      <c r="R39" s="174"/>
      <c r="S39" s="174"/>
      <c r="T39" s="174"/>
      <c r="U39" s="174"/>
      <c r="V39" s="174"/>
      <c r="W39" s="176"/>
      <c r="X39" s="243"/>
      <c r="Y39" s="244">
        <v>2.1</v>
      </c>
      <c r="Z39" s="5" t="s">
        <v>388</v>
      </c>
      <c r="AA39" s="5"/>
    </row>
    <row r="40" spans="1:27" s="1" customFormat="1" ht="26.25" customHeight="1" x14ac:dyDescent="0.3">
      <c r="A40" s="456"/>
      <c r="B40" s="405"/>
      <c r="C40" s="345"/>
      <c r="D40" s="176" t="s">
        <v>81</v>
      </c>
      <c r="E40" s="176" t="s">
        <v>205</v>
      </c>
      <c r="F40" s="176">
        <v>3</v>
      </c>
      <c r="G40" s="176" t="s">
        <v>35</v>
      </c>
      <c r="H40" s="176">
        <v>26</v>
      </c>
      <c r="I40" s="174"/>
      <c r="J40" s="174">
        <v>15</v>
      </c>
      <c r="K40" s="174"/>
      <c r="L40" s="174"/>
      <c r="M40" s="174"/>
      <c r="N40" s="174"/>
      <c r="O40" s="5" t="s">
        <v>388</v>
      </c>
      <c r="P40" s="5"/>
      <c r="Q40" s="174"/>
      <c r="R40" s="174"/>
      <c r="S40" s="174"/>
      <c r="T40" s="174"/>
      <c r="U40" s="174"/>
      <c r="V40" s="174"/>
      <c r="W40" s="176"/>
      <c r="X40" s="243"/>
      <c r="Y40" s="244">
        <v>0.6</v>
      </c>
      <c r="Z40" s="5" t="s">
        <v>388</v>
      </c>
      <c r="AA40" s="5"/>
    </row>
    <row r="41" spans="1:27" s="1" customFormat="1" ht="26.25" customHeight="1" x14ac:dyDescent="0.3">
      <c r="A41" s="454">
        <v>7</v>
      </c>
      <c r="B41" s="404" t="s">
        <v>285</v>
      </c>
      <c r="C41" s="344"/>
      <c r="D41" s="176" t="s">
        <v>81</v>
      </c>
      <c r="E41" s="176" t="s">
        <v>204</v>
      </c>
      <c r="F41" s="176">
        <v>3</v>
      </c>
      <c r="G41" s="176" t="s">
        <v>35</v>
      </c>
      <c r="H41" s="176">
        <v>25</v>
      </c>
      <c r="I41" s="174">
        <v>30</v>
      </c>
      <c r="J41" s="174">
        <v>15</v>
      </c>
      <c r="K41" s="174"/>
      <c r="L41" s="174"/>
      <c r="M41" s="174">
        <v>15</v>
      </c>
      <c r="N41" s="174"/>
      <c r="O41" s="5" t="s">
        <v>386</v>
      </c>
      <c r="P41" s="5"/>
      <c r="Q41" s="174"/>
      <c r="R41" s="174"/>
      <c r="S41" s="174"/>
      <c r="T41" s="174"/>
      <c r="U41" s="174"/>
      <c r="V41" s="174"/>
      <c r="W41" s="176"/>
      <c r="X41" s="243"/>
      <c r="Y41" s="244">
        <v>2.1</v>
      </c>
      <c r="Z41" s="5" t="s">
        <v>386</v>
      </c>
      <c r="AA41" s="5"/>
    </row>
    <row r="42" spans="1:27" s="1" customFormat="1" ht="26.25" customHeight="1" x14ac:dyDescent="0.3">
      <c r="A42" s="456"/>
      <c r="B42" s="431"/>
      <c r="C42" s="346"/>
      <c r="D42" s="176" t="s">
        <v>81</v>
      </c>
      <c r="E42" s="176" t="s">
        <v>205</v>
      </c>
      <c r="F42" s="176">
        <v>3</v>
      </c>
      <c r="G42" s="176" t="s">
        <v>35</v>
      </c>
      <c r="H42" s="176">
        <v>26</v>
      </c>
      <c r="I42" s="174"/>
      <c r="J42" s="174">
        <v>15</v>
      </c>
      <c r="K42" s="174"/>
      <c r="L42" s="174"/>
      <c r="M42" s="174"/>
      <c r="N42" s="174"/>
      <c r="O42" s="5" t="s">
        <v>386</v>
      </c>
      <c r="P42" s="5"/>
      <c r="Q42" s="174"/>
      <c r="R42" s="174"/>
      <c r="S42" s="174"/>
      <c r="T42" s="174"/>
      <c r="U42" s="174"/>
      <c r="V42" s="174"/>
      <c r="W42" s="176"/>
      <c r="X42" s="243"/>
      <c r="Y42" s="244">
        <v>0.6</v>
      </c>
      <c r="Z42" s="5" t="s">
        <v>386</v>
      </c>
      <c r="AA42" s="5"/>
    </row>
    <row r="43" spans="1:27" s="1" customFormat="1" ht="26.25" customHeight="1" x14ac:dyDescent="0.3">
      <c r="A43" s="454">
        <v>8</v>
      </c>
      <c r="B43" s="404" t="s">
        <v>286</v>
      </c>
      <c r="C43" s="344"/>
      <c r="D43" s="176" t="s">
        <v>81</v>
      </c>
      <c r="E43" s="176" t="s">
        <v>206</v>
      </c>
      <c r="F43" s="176">
        <v>3</v>
      </c>
      <c r="G43" s="176" t="s">
        <v>35</v>
      </c>
      <c r="H43" s="176">
        <v>25</v>
      </c>
      <c r="I43" s="174">
        <v>30</v>
      </c>
      <c r="J43" s="174">
        <v>15</v>
      </c>
      <c r="K43" s="174"/>
      <c r="L43" s="174"/>
      <c r="M43" s="174">
        <v>15</v>
      </c>
      <c r="N43" s="174"/>
      <c r="O43" s="5" t="s">
        <v>388</v>
      </c>
      <c r="P43" s="5"/>
      <c r="Q43" s="174"/>
      <c r="R43" s="174"/>
      <c r="S43" s="174"/>
      <c r="T43" s="174"/>
      <c r="U43" s="174"/>
      <c r="V43" s="174"/>
      <c r="W43" s="176"/>
      <c r="X43" s="243"/>
      <c r="Y43" s="244">
        <v>2.1</v>
      </c>
      <c r="Z43" s="5" t="s">
        <v>388</v>
      </c>
      <c r="AA43" s="5"/>
    </row>
    <row r="44" spans="1:27" s="1" customFormat="1" ht="26.25" customHeight="1" x14ac:dyDescent="0.3">
      <c r="A44" s="456"/>
      <c r="B44" s="431"/>
      <c r="C44" s="346"/>
      <c r="D44" s="176" t="s">
        <v>81</v>
      </c>
      <c r="E44" s="176" t="s">
        <v>283</v>
      </c>
      <c r="F44" s="174">
        <v>3</v>
      </c>
      <c r="G44" s="176" t="s">
        <v>32</v>
      </c>
      <c r="H44" s="174">
        <v>23</v>
      </c>
      <c r="I44" s="174">
        <v>30</v>
      </c>
      <c r="J44" s="174">
        <v>15</v>
      </c>
      <c r="K44" s="174"/>
      <c r="L44" s="174"/>
      <c r="M44" s="174">
        <v>15</v>
      </c>
      <c r="N44" s="174"/>
      <c r="O44" s="5" t="s">
        <v>387</v>
      </c>
      <c r="P44" s="5"/>
      <c r="Q44" s="174"/>
      <c r="R44" s="174"/>
      <c r="S44" s="174"/>
      <c r="T44" s="174"/>
      <c r="U44" s="174"/>
      <c r="V44" s="174"/>
      <c r="W44" s="176"/>
      <c r="X44" s="243"/>
      <c r="Y44" s="244">
        <v>2.1</v>
      </c>
      <c r="Z44" s="5" t="s">
        <v>387</v>
      </c>
      <c r="AA44" s="5"/>
    </row>
    <row r="45" spans="1:27" s="1" customFormat="1" ht="26.25" customHeight="1" x14ac:dyDescent="0.3">
      <c r="A45" s="454">
        <v>9</v>
      </c>
      <c r="B45" s="404" t="s">
        <v>287</v>
      </c>
      <c r="C45" s="344"/>
      <c r="D45" s="176" t="s">
        <v>81</v>
      </c>
      <c r="E45" s="176" t="s">
        <v>206</v>
      </c>
      <c r="F45" s="176">
        <v>3</v>
      </c>
      <c r="G45" s="176" t="s">
        <v>35</v>
      </c>
      <c r="H45" s="176">
        <v>25</v>
      </c>
      <c r="I45" s="174">
        <v>30</v>
      </c>
      <c r="J45" s="174">
        <v>15</v>
      </c>
      <c r="K45" s="174"/>
      <c r="L45" s="174"/>
      <c r="M45" s="174">
        <v>15</v>
      </c>
      <c r="N45" s="174"/>
      <c r="O45" s="15" t="s">
        <v>389</v>
      </c>
      <c r="P45" s="5"/>
      <c r="Q45" s="174"/>
      <c r="R45" s="174"/>
      <c r="S45" s="174"/>
      <c r="T45" s="174"/>
      <c r="U45" s="174"/>
      <c r="V45" s="174"/>
      <c r="W45" s="176"/>
      <c r="X45" s="243"/>
      <c r="Y45" s="244">
        <v>2.1</v>
      </c>
      <c r="Z45" s="5" t="s">
        <v>386</v>
      </c>
      <c r="AA45" s="5"/>
    </row>
    <row r="46" spans="1:27" s="1" customFormat="1" ht="26.25" customHeight="1" x14ac:dyDescent="0.3">
      <c r="A46" s="456"/>
      <c r="B46" s="405"/>
      <c r="C46" s="345"/>
      <c r="D46" s="176" t="s">
        <v>81</v>
      </c>
      <c r="E46" s="176" t="s">
        <v>283</v>
      </c>
      <c r="F46" s="174">
        <v>3</v>
      </c>
      <c r="G46" s="176" t="s">
        <v>32</v>
      </c>
      <c r="H46" s="174">
        <v>23</v>
      </c>
      <c r="I46" s="174">
        <v>30</v>
      </c>
      <c r="J46" s="174">
        <v>15</v>
      </c>
      <c r="K46" s="174"/>
      <c r="L46" s="174"/>
      <c r="M46" s="174">
        <v>15</v>
      </c>
      <c r="N46" s="174"/>
      <c r="O46" s="5" t="s">
        <v>387</v>
      </c>
      <c r="P46" s="5"/>
      <c r="Q46" s="174"/>
      <c r="R46" s="174"/>
      <c r="S46" s="174"/>
      <c r="T46" s="174"/>
      <c r="U46" s="174"/>
      <c r="V46" s="174"/>
      <c r="W46" s="176"/>
      <c r="X46" s="243"/>
      <c r="Y46" s="244">
        <v>2.1</v>
      </c>
      <c r="Z46" s="5" t="s">
        <v>387</v>
      </c>
      <c r="AA46" s="5"/>
    </row>
    <row r="47" spans="1:27" s="1" customFormat="1" ht="29.25" customHeight="1" x14ac:dyDescent="0.2">
      <c r="A47" s="81">
        <v>10</v>
      </c>
      <c r="B47" s="245" t="s">
        <v>271</v>
      </c>
      <c r="C47" s="344"/>
      <c r="D47" s="176" t="s">
        <v>81</v>
      </c>
      <c r="E47" s="176" t="s">
        <v>248</v>
      </c>
      <c r="F47" s="176">
        <v>5</v>
      </c>
      <c r="G47" s="174" t="s">
        <v>35</v>
      </c>
      <c r="H47" s="244">
        <v>29</v>
      </c>
      <c r="I47" s="176">
        <v>15</v>
      </c>
      <c r="J47" s="174">
        <v>30</v>
      </c>
      <c r="K47" s="174"/>
      <c r="L47" s="174"/>
      <c r="M47" s="174">
        <v>15</v>
      </c>
      <c r="N47" s="174"/>
      <c r="O47" s="5" t="s">
        <v>391</v>
      </c>
      <c r="P47" s="5"/>
      <c r="Q47" s="174"/>
      <c r="R47" s="174"/>
      <c r="S47" s="174"/>
      <c r="T47" s="174"/>
      <c r="U47" s="174"/>
      <c r="V47" s="174"/>
      <c r="W47" s="174"/>
      <c r="X47" s="174"/>
      <c r="Y47" s="239">
        <v>2.1</v>
      </c>
      <c r="Z47" s="5" t="s">
        <v>391</v>
      </c>
      <c r="AA47" s="5"/>
    </row>
    <row r="48" spans="1:27" s="1" customFormat="1" ht="29.25" customHeight="1" x14ac:dyDescent="0.2">
      <c r="A48" s="101">
        <v>11</v>
      </c>
      <c r="B48" s="245" t="s">
        <v>272</v>
      </c>
      <c r="C48" s="344"/>
      <c r="D48" s="176" t="s">
        <v>81</v>
      </c>
      <c r="E48" s="176" t="s">
        <v>248</v>
      </c>
      <c r="F48" s="176">
        <v>5</v>
      </c>
      <c r="G48" s="174" t="s">
        <v>35</v>
      </c>
      <c r="H48" s="244">
        <v>29</v>
      </c>
      <c r="I48" s="176">
        <v>15</v>
      </c>
      <c r="J48" s="174">
        <v>30</v>
      </c>
      <c r="K48" s="174"/>
      <c r="L48" s="174"/>
      <c r="M48" s="174">
        <v>15</v>
      </c>
      <c r="N48" s="174"/>
      <c r="O48" s="5" t="s">
        <v>391</v>
      </c>
      <c r="P48" s="5"/>
      <c r="Q48" s="174"/>
      <c r="R48" s="174"/>
      <c r="S48" s="174"/>
      <c r="T48" s="174"/>
      <c r="U48" s="174"/>
      <c r="V48" s="174"/>
      <c r="W48" s="174"/>
      <c r="X48" s="174"/>
      <c r="Y48" s="239">
        <v>2.1</v>
      </c>
      <c r="Z48" s="5" t="s">
        <v>391</v>
      </c>
      <c r="AA48" s="5"/>
    </row>
    <row r="49" spans="1:27" s="1" customFormat="1" ht="29.25" customHeight="1" x14ac:dyDescent="0.2">
      <c r="A49" s="101">
        <v>12</v>
      </c>
      <c r="B49" s="246" t="s">
        <v>148</v>
      </c>
      <c r="C49" s="246"/>
      <c r="D49" s="176" t="s">
        <v>81</v>
      </c>
      <c r="E49" s="176" t="s">
        <v>248</v>
      </c>
      <c r="F49" s="176">
        <v>5</v>
      </c>
      <c r="G49" s="174" t="s">
        <v>35</v>
      </c>
      <c r="H49" s="244">
        <v>29</v>
      </c>
      <c r="I49" s="176">
        <v>15</v>
      </c>
      <c r="J49" s="174">
        <v>30</v>
      </c>
      <c r="K49" s="174"/>
      <c r="L49" s="174"/>
      <c r="M49" s="174">
        <v>15</v>
      </c>
      <c r="N49" s="174"/>
      <c r="O49" s="5" t="s">
        <v>388</v>
      </c>
      <c r="P49" s="5"/>
      <c r="Q49" s="174"/>
      <c r="R49" s="174"/>
      <c r="S49" s="174"/>
      <c r="T49" s="174"/>
      <c r="U49" s="174"/>
      <c r="V49" s="174"/>
      <c r="W49" s="174"/>
      <c r="X49" s="174"/>
      <c r="Y49" s="239">
        <v>2.1</v>
      </c>
      <c r="Z49" s="5" t="s">
        <v>388</v>
      </c>
      <c r="AA49" s="5"/>
    </row>
    <row r="50" spans="1:27" s="1" customFormat="1" ht="39" customHeight="1" x14ac:dyDescent="0.2">
      <c r="A50" s="101">
        <v>13</v>
      </c>
      <c r="B50" s="247" t="s">
        <v>273</v>
      </c>
      <c r="C50" s="340"/>
      <c r="D50" s="176" t="s">
        <v>81</v>
      </c>
      <c r="E50" s="176" t="s">
        <v>248</v>
      </c>
      <c r="F50" s="176">
        <v>5</v>
      </c>
      <c r="G50" s="174" t="s">
        <v>35</v>
      </c>
      <c r="H50" s="244">
        <v>29</v>
      </c>
      <c r="I50" s="176">
        <v>15</v>
      </c>
      <c r="J50" s="174">
        <v>30</v>
      </c>
      <c r="K50" s="174"/>
      <c r="L50" s="174"/>
      <c r="M50" s="174">
        <v>15</v>
      </c>
      <c r="N50" s="174"/>
      <c r="O50" s="5" t="s">
        <v>386</v>
      </c>
      <c r="P50" s="5"/>
      <c r="Q50" s="174"/>
      <c r="R50" s="174"/>
      <c r="S50" s="174"/>
      <c r="T50" s="174"/>
      <c r="U50" s="174"/>
      <c r="V50" s="174"/>
      <c r="W50" s="174"/>
      <c r="X50" s="174"/>
      <c r="Y50" s="239">
        <v>2.1</v>
      </c>
      <c r="Z50" s="5" t="s">
        <v>386</v>
      </c>
      <c r="AA50" s="5"/>
    </row>
    <row r="51" spans="1:27" s="1" customFormat="1" ht="29.25" customHeight="1" x14ac:dyDescent="0.2">
      <c r="A51" s="101">
        <v>14</v>
      </c>
      <c r="B51" s="247" t="s">
        <v>274</v>
      </c>
      <c r="C51" s="340"/>
      <c r="D51" s="176" t="s">
        <v>81</v>
      </c>
      <c r="E51" s="176" t="s">
        <v>248</v>
      </c>
      <c r="F51" s="176">
        <v>5</v>
      </c>
      <c r="G51" s="174" t="s">
        <v>35</v>
      </c>
      <c r="H51" s="244">
        <v>29</v>
      </c>
      <c r="I51" s="176">
        <v>15</v>
      </c>
      <c r="J51" s="174">
        <v>30</v>
      </c>
      <c r="K51" s="174"/>
      <c r="L51" s="174"/>
      <c r="M51" s="174">
        <v>15</v>
      </c>
      <c r="N51" s="174"/>
      <c r="O51" s="5" t="s">
        <v>388</v>
      </c>
      <c r="P51" s="5"/>
      <c r="Q51" s="174"/>
      <c r="R51" s="174"/>
      <c r="S51" s="174"/>
      <c r="T51" s="174"/>
      <c r="U51" s="174"/>
      <c r="V51" s="174"/>
      <c r="W51" s="174"/>
      <c r="X51" s="174"/>
      <c r="Y51" s="239">
        <v>2.1</v>
      </c>
      <c r="Z51" s="5" t="s">
        <v>388</v>
      </c>
      <c r="AA51" s="5"/>
    </row>
    <row r="52" spans="1:27" s="1" customFormat="1" ht="29.25" customHeight="1" x14ac:dyDescent="0.2">
      <c r="A52" s="454">
        <v>15</v>
      </c>
      <c r="B52" s="460" t="s">
        <v>275</v>
      </c>
      <c r="C52" s="349"/>
      <c r="D52" s="176" t="s">
        <v>81</v>
      </c>
      <c r="E52" s="176" t="s">
        <v>203</v>
      </c>
      <c r="F52" s="176">
        <v>5</v>
      </c>
      <c r="G52" s="174" t="s">
        <v>35</v>
      </c>
      <c r="H52" s="244">
        <v>22</v>
      </c>
      <c r="I52" s="176">
        <v>15</v>
      </c>
      <c r="J52" s="174">
        <v>30</v>
      </c>
      <c r="K52" s="174"/>
      <c r="L52" s="174"/>
      <c r="M52" s="174">
        <v>15</v>
      </c>
      <c r="N52" s="174"/>
      <c r="O52" s="5" t="s">
        <v>399</v>
      </c>
      <c r="P52" s="5"/>
      <c r="Q52" s="174"/>
      <c r="R52" s="174"/>
      <c r="S52" s="174"/>
      <c r="T52" s="174"/>
      <c r="U52" s="174"/>
      <c r="V52" s="174"/>
      <c r="W52" s="174"/>
      <c r="X52" s="174"/>
      <c r="Y52" s="239">
        <v>2.1</v>
      </c>
      <c r="Z52" s="5" t="s">
        <v>399</v>
      </c>
      <c r="AA52" s="5"/>
    </row>
    <row r="53" spans="1:27" s="1" customFormat="1" ht="29.25" customHeight="1" x14ac:dyDescent="0.2">
      <c r="A53" s="455"/>
      <c r="B53" s="461"/>
      <c r="C53" s="350"/>
      <c r="D53" s="176" t="s">
        <v>81</v>
      </c>
      <c r="E53" s="176" t="s">
        <v>247</v>
      </c>
      <c r="F53" s="176">
        <v>5</v>
      </c>
      <c r="G53" s="174" t="s">
        <v>35</v>
      </c>
      <c r="H53" s="244">
        <v>21</v>
      </c>
      <c r="I53" s="176"/>
      <c r="J53" s="174">
        <v>30</v>
      </c>
      <c r="K53" s="174"/>
      <c r="L53" s="174"/>
      <c r="M53" s="174"/>
      <c r="N53" s="174"/>
      <c r="O53" s="5" t="s">
        <v>399</v>
      </c>
      <c r="P53" s="5"/>
      <c r="Q53" s="174"/>
      <c r="R53" s="174"/>
      <c r="S53" s="174"/>
      <c r="T53" s="174"/>
      <c r="U53" s="174"/>
      <c r="V53" s="174"/>
      <c r="W53" s="174"/>
      <c r="X53" s="174"/>
      <c r="Y53" s="239">
        <v>1.1000000000000001</v>
      </c>
      <c r="Z53" s="5" t="s">
        <v>399</v>
      </c>
      <c r="AA53" s="5"/>
    </row>
    <row r="54" spans="1:27" s="1" customFormat="1" ht="29.25" customHeight="1" x14ac:dyDescent="0.2">
      <c r="A54" s="456"/>
      <c r="B54" s="462"/>
      <c r="C54" s="351"/>
      <c r="D54" s="176" t="s">
        <v>81</v>
      </c>
      <c r="E54" s="176" t="s">
        <v>290</v>
      </c>
      <c r="F54" s="176">
        <v>5</v>
      </c>
      <c r="G54" s="174" t="s">
        <v>32</v>
      </c>
      <c r="H54" s="176">
        <v>18</v>
      </c>
      <c r="I54" s="176">
        <v>15</v>
      </c>
      <c r="J54" s="174">
        <v>30</v>
      </c>
      <c r="K54" s="174"/>
      <c r="L54" s="174"/>
      <c r="M54" s="174">
        <v>15</v>
      </c>
      <c r="N54" s="174"/>
      <c r="O54" s="5" t="s">
        <v>400</v>
      </c>
      <c r="P54" s="5"/>
      <c r="Q54" s="174"/>
      <c r="R54" s="174"/>
      <c r="S54" s="174"/>
      <c r="T54" s="174"/>
      <c r="U54" s="174"/>
      <c r="V54" s="174"/>
      <c r="W54" s="174"/>
      <c r="X54" s="174"/>
      <c r="Y54" s="239">
        <v>2.1</v>
      </c>
      <c r="Z54" s="5" t="s">
        <v>400</v>
      </c>
      <c r="AA54" s="5"/>
    </row>
    <row r="55" spans="1:27" s="1" customFormat="1" ht="29.25" customHeight="1" x14ac:dyDescent="0.2">
      <c r="A55" s="454">
        <v>16</v>
      </c>
      <c r="B55" s="460" t="s">
        <v>276</v>
      </c>
      <c r="C55" s="349"/>
      <c r="D55" s="176" t="s">
        <v>81</v>
      </c>
      <c r="E55" s="176" t="s">
        <v>203</v>
      </c>
      <c r="F55" s="176">
        <v>5</v>
      </c>
      <c r="G55" s="174" t="s">
        <v>35</v>
      </c>
      <c r="H55" s="244">
        <v>22</v>
      </c>
      <c r="I55" s="176">
        <v>15</v>
      </c>
      <c r="J55" s="174">
        <v>30</v>
      </c>
      <c r="K55" s="174"/>
      <c r="L55" s="174"/>
      <c r="M55" s="174">
        <v>15</v>
      </c>
      <c r="N55" s="174"/>
      <c r="O55" s="5" t="s">
        <v>386</v>
      </c>
      <c r="P55" s="5"/>
      <c r="Q55" s="174"/>
      <c r="R55" s="174"/>
      <c r="S55" s="174"/>
      <c r="T55" s="174"/>
      <c r="U55" s="174"/>
      <c r="V55" s="174"/>
      <c r="W55" s="174"/>
      <c r="X55" s="174"/>
      <c r="Y55" s="239">
        <v>2.1</v>
      </c>
      <c r="Z55" s="5" t="s">
        <v>386</v>
      </c>
      <c r="AA55" s="5"/>
    </row>
    <row r="56" spans="1:27" s="1" customFormat="1" ht="29.25" customHeight="1" x14ac:dyDescent="0.2">
      <c r="A56" s="455"/>
      <c r="B56" s="461"/>
      <c r="C56" s="350"/>
      <c r="D56" s="176" t="s">
        <v>81</v>
      </c>
      <c r="E56" s="176" t="s">
        <v>247</v>
      </c>
      <c r="F56" s="176">
        <v>5</v>
      </c>
      <c r="G56" s="174" t="s">
        <v>35</v>
      </c>
      <c r="H56" s="244">
        <v>21</v>
      </c>
      <c r="I56" s="176"/>
      <c r="J56" s="174">
        <v>30</v>
      </c>
      <c r="K56" s="174"/>
      <c r="L56" s="174"/>
      <c r="M56" s="174"/>
      <c r="N56" s="174"/>
      <c r="O56" s="5" t="s">
        <v>386</v>
      </c>
      <c r="P56" s="5"/>
      <c r="Q56" s="174"/>
      <c r="R56" s="174"/>
      <c r="S56" s="174"/>
      <c r="T56" s="174"/>
      <c r="U56" s="174"/>
      <c r="V56" s="174"/>
      <c r="W56" s="174"/>
      <c r="X56" s="174"/>
      <c r="Y56" s="239">
        <v>1.1000000000000001</v>
      </c>
      <c r="Z56" s="5" t="s">
        <v>386</v>
      </c>
      <c r="AA56" s="5"/>
    </row>
    <row r="57" spans="1:27" s="1" customFormat="1" ht="29.25" customHeight="1" x14ac:dyDescent="0.2">
      <c r="A57" s="456"/>
      <c r="B57" s="462"/>
      <c r="C57" s="351"/>
      <c r="D57" s="176" t="s">
        <v>81</v>
      </c>
      <c r="E57" s="176" t="s">
        <v>290</v>
      </c>
      <c r="F57" s="176">
        <v>5</v>
      </c>
      <c r="G57" s="174" t="s">
        <v>32</v>
      </c>
      <c r="H57" s="176">
        <v>18</v>
      </c>
      <c r="I57" s="176">
        <v>15</v>
      </c>
      <c r="J57" s="174">
        <v>30</v>
      </c>
      <c r="K57" s="174"/>
      <c r="L57" s="174"/>
      <c r="M57" s="174">
        <v>15</v>
      </c>
      <c r="N57" s="174"/>
      <c r="O57" s="5" t="s">
        <v>394</v>
      </c>
      <c r="P57" s="5"/>
      <c r="Q57" s="174"/>
      <c r="R57" s="174"/>
      <c r="S57" s="174"/>
      <c r="T57" s="174"/>
      <c r="U57" s="174"/>
      <c r="V57" s="174"/>
      <c r="W57" s="174"/>
      <c r="X57" s="174"/>
      <c r="Y57" s="239">
        <v>2.1</v>
      </c>
      <c r="Z57" s="5" t="s">
        <v>394</v>
      </c>
      <c r="AA57" s="5"/>
    </row>
    <row r="58" spans="1:27" s="1" customFormat="1" ht="29.25" customHeight="1" x14ac:dyDescent="0.2">
      <c r="A58" s="398">
        <v>13</v>
      </c>
      <c r="B58" s="422" t="s">
        <v>149</v>
      </c>
      <c r="C58" s="340"/>
      <c r="D58" s="176" t="s">
        <v>81</v>
      </c>
      <c r="E58" s="176" t="s">
        <v>203</v>
      </c>
      <c r="F58" s="176">
        <v>5</v>
      </c>
      <c r="G58" s="174" t="s">
        <v>35</v>
      </c>
      <c r="H58" s="244">
        <v>22</v>
      </c>
      <c r="I58" s="176">
        <v>15</v>
      </c>
      <c r="J58" s="174">
        <v>30</v>
      </c>
      <c r="K58" s="174"/>
      <c r="L58" s="174"/>
      <c r="M58" s="174">
        <v>15</v>
      </c>
      <c r="N58" s="174"/>
      <c r="O58" s="5" t="s">
        <v>392</v>
      </c>
      <c r="P58" s="5"/>
      <c r="Q58" s="174"/>
      <c r="R58" s="174"/>
      <c r="S58" s="174"/>
      <c r="T58" s="174"/>
      <c r="U58" s="174"/>
      <c r="V58" s="174"/>
      <c r="W58" s="174"/>
      <c r="X58" s="174"/>
      <c r="Y58" s="239">
        <v>2.1</v>
      </c>
      <c r="Z58" s="5" t="s">
        <v>392</v>
      </c>
      <c r="AA58" s="5"/>
    </row>
    <row r="59" spans="1:27" s="1" customFormat="1" ht="29.25" customHeight="1" x14ac:dyDescent="0.2">
      <c r="A59" s="398"/>
      <c r="B59" s="422"/>
      <c r="C59" s="340"/>
      <c r="D59" s="176" t="s">
        <v>81</v>
      </c>
      <c r="E59" s="176" t="s">
        <v>247</v>
      </c>
      <c r="F59" s="176">
        <v>5</v>
      </c>
      <c r="G59" s="174" t="s">
        <v>35</v>
      </c>
      <c r="H59" s="244">
        <v>21</v>
      </c>
      <c r="I59" s="176"/>
      <c r="J59" s="174">
        <v>30</v>
      </c>
      <c r="K59" s="174"/>
      <c r="L59" s="174"/>
      <c r="M59" s="174"/>
      <c r="N59" s="174"/>
      <c r="O59" s="5" t="s">
        <v>392</v>
      </c>
      <c r="P59" s="5"/>
      <c r="Q59" s="174"/>
      <c r="R59" s="174"/>
      <c r="S59" s="174"/>
      <c r="T59" s="174"/>
      <c r="U59" s="174"/>
      <c r="V59" s="174"/>
      <c r="W59" s="174"/>
      <c r="X59" s="174"/>
      <c r="Y59" s="239">
        <v>1.1000000000000001</v>
      </c>
      <c r="Z59" s="5" t="s">
        <v>392</v>
      </c>
      <c r="AA59" s="5"/>
    </row>
    <row r="60" spans="1:27" s="1" customFormat="1" ht="29.25" customHeight="1" x14ac:dyDescent="0.2">
      <c r="A60" s="398"/>
      <c r="B60" s="422"/>
      <c r="C60" s="340"/>
      <c r="D60" s="176" t="s">
        <v>81</v>
      </c>
      <c r="E60" s="176" t="s">
        <v>202</v>
      </c>
      <c r="F60" s="176">
        <v>5</v>
      </c>
      <c r="G60" s="174" t="s">
        <v>32</v>
      </c>
      <c r="H60" s="176">
        <v>18</v>
      </c>
      <c r="I60" s="176">
        <v>15</v>
      </c>
      <c r="J60" s="174">
        <v>30</v>
      </c>
      <c r="K60" s="174"/>
      <c r="L60" s="174"/>
      <c r="M60" s="174">
        <v>15</v>
      </c>
      <c r="N60" s="174"/>
      <c r="O60" s="5" t="s">
        <v>393</v>
      </c>
      <c r="P60" s="5"/>
      <c r="Q60" s="174"/>
      <c r="R60" s="174"/>
      <c r="S60" s="174"/>
      <c r="T60" s="174"/>
      <c r="U60" s="174"/>
      <c r="V60" s="174"/>
      <c r="W60" s="174"/>
      <c r="X60" s="174"/>
      <c r="Y60" s="239">
        <v>2.1</v>
      </c>
      <c r="Z60" s="5" t="s">
        <v>393</v>
      </c>
      <c r="AA60" s="5"/>
    </row>
    <row r="61" spans="1:27" s="1" customFormat="1" ht="29.25" customHeight="1" x14ac:dyDescent="0.2">
      <c r="A61" s="398">
        <v>14</v>
      </c>
      <c r="B61" s="422" t="s">
        <v>277</v>
      </c>
      <c r="C61" s="340"/>
      <c r="D61" s="176" t="s">
        <v>81</v>
      </c>
      <c r="E61" s="176" t="s">
        <v>203</v>
      </c>
      <c r="F61" s="176">
        <v>5</v>
      </c>
      <c r="G61" s="174" t="s">
        <v>35</v>
      </c>
      <c r="H61" s="244">
        <v>22</v>
      </c>
      <c r="I61" s="176">
        <v>15</v>
      </c>
      <c r="J61" s="174">
        <v>30</v>
      </c>
      <c r="K61" s="174"/>
      <c r="L61" s="174"/>
      <c r="M61" s="174">
        <v>15</v>
      </c>
      <c r="N61" s="174"/>
      <c r="O61" s="15" t="s">
        <v>385</v>
      </c>
      <c r="P61" s="15"/>
      <c r="Q61" s="174"/>
      <c r="R61" s="174"/>
      <c r="S61" s="174"/>
      <c r="T61" s="174"/>
      <c r="U61" s="174"/>
      <c r="V61" s="174"/>
      <c r="W61" s="174"/>
      <c r="X61" s="174"/>
      <c r="Y61" s="239">
        <v>2.1</v>
      </c>
      <c r="Z61" s="15" t="s">
        <v>385</v>
      </c>
      <c r="AA61" s="15"/>
    </row>
    <row r="62" spans="1:27" s="1" customFormat="1" ht="29.25" customHeight="1" x14ac:dyDescent="0.2">
      <c r="A62" s="398"/>
      <c r="B62" s="422"/>
      <c r="C62" s="340"/>
      <c r="D62" s="176" t="s">
        <v>81</v>
      </c>
      <c r="E62" s="176" t="s">
        <v>247</v>
      </c>
      <c r="F62" s="176">
        <v>5</v>
      </c>
      <c r="G62" s="174" t="s">
        <v>35</v>
      </c>
      <c r="H62" s="244">
        <v>21</v>
      </c>
      <c r="I62" s="176"/>
      <c r="J62" s="174">
        <v>30</v>
      </c>
      <c r="K62" s="174"/>
      <c r="L62" s="174"/>
      <c r="M62" s="174"/>
      <c r="N62" s="174"/>
      <c r="O62" s="15" t="s">
        <v>385</v>
      </c>
      <c r="P62" s="15"/>
      <c r="Q62" s="174"/>
      <c r="R62" s="174"/>
      <c r="S62" s="174"/>
      <c r="T62" s="174"/>
      <c r="U62" s="174"/>
      <c r="V62" s="174"/>
      <c r="W62" s="174"/>
      <c r="X62" s="174"/>
      <c r="Y62" s="239">
        <v>1.1000000000000001</v>
      </c>
      <c r="Z62" s="15" t="s">
        <v>385</v>
      </c>
      <c r="AA62" s="15"/>
    </row>
    <row r="63" spans="1:27" s="1" customFormat="1" ht="29.25" customHeight="1" x14ac:dyDescent="0.2">
      <c r="A63" s="398"/>
      <c r="B63" s="422"/>
      <c r="C63" s="340"/>
      <c r="D63" s="176" t="s">
        <v>81</v>
      </c>
      <c r="E63" s="176" t="s">
        <v>202</v>
      </c>
      <c r="F63" s="176">
        <v>5</v>
      </c>
      <c r="G63" s="174" t="s">
        <v>32</v>
      </c>
      <c r="H63" s="176">
        <v>18</v>
      </c>
      <c r="I63" s="176">
        <v>15</v>
      </c>
      <c r="J63" s="174">
        <v>30</v>
      </c>
      <c r="K63" s="174"/>
      <c r="L63" s="174"/>
      <c r="M63" s="174">
        <v>15</v>
      </c>
      <c r="N63" s="174"/>
      <c r="O63" s="5" t="s">
        <v>395</v>
      </c>
      <c r="P63" s="5"/>
      <c r="Q63" s="174"/>
      <c r="R63" s="174"/>
      <c r="S63" s="174"/>
      <c r="T63" s="174"/>
      <c r="U63" s="174"/>
      <c r="V63" s="174"/>
      <c r="W63" s="174"/>
      <c r="X63" s="174"/>
      <c r="Y63" s="239">
        <v>2.1</v>
      </c>
      <c r="Z63" s="5" t="s">
        <v>395</v>
      </c>
      <c r="AA63" s="5"/>
    </row>
    <row r="64" spans="1:27" s="1" customFormat="1" ht="29.25" customHeight="1" x14ac:dyDescent="0.2">
      <c r="A64" s="81"/>
      <c r="B64" s="447" t="s">
        <v>82</v>
      </c>
      <c r="C64" s="348"/>
      <c r="D64" s="176" t="s">
        <v>81</v>
      </c>
      <c r="E64" s="176" t="s">
        <v>203</v>
      </c>
      <c r="F64" s="176">
        <v>5</v>
      </c>
      <c r="G64" s="174" t="s">
        <v>35</v>
      </c>
      <c r="H64" s="244">
        <v>22</v>
      </c>
      <c r="I64" s="176">
        <v>15</v>
      </c>
      <c r="J64" s="174">
        <v>30</v>
      </c>
      <c r="K64" s="174"/>
      <c r="L64" s="174"/>
      <c r="M64" s="174">
        <v>15</v>
      </c>
      <c r="N64" s="174"/>
      <c r="O64" s="5" t="s">
        <v>399</v>
      </c>
      <c r="P64" s="5"/>
      <c r="Q64" s="174"/>
      <c r="R64" s="174"/>
      <c r="S64" s="174"/>
      <c r="T64" s="174"/>
      <c r="U64" s="174"/>
      <c r="V64" s="174"/>
      <c r="W64" s="174"/>
      <c r="X64" s="174"/>
      <c r="Y64" s="239">
        <v>2.1</v>
      </c>
      <c r="Z64" s="5" t="s">
        <v>399</v>
      </c>
      <c r="AA64" s="5"/>
    </row>
    <row r="65" spans="1:31" s="1" customFormat="1" ht="29.25" customHeight="1" x14ac:dyDescent="0.2">
      <c r="A65" s="81"/>
      <c r="B65" s="447"/>
      <c r="C65" s="348"/>
      <c r="D65" s="176" t="s">
        <v>81</v>
      </c>
      <c r="E65" s="176" t="s">
        <v>247</v>
      </c>
      <c r="F65" s="176">
        <v>5</v>
      </c>
      <c r="G65" s="174" t="s">
        <v>35</v>
      </c>
      <c r="H65" s="244">
        <v>21</v>
      </c>
      <c r="I65" s="176"/>
      <c r="J65" s="174">
        <v>30</v>
      </c>
      <c r="K65" s="174"/>
      <c r="L65" s="174"/>
      <c r="M65" s="174"/>
      <c r="N65" s="174"/>
      <c r="O65" s="5" t="s">
        <v>399</v>
      </c>
      <c r="P65" s="5"/>
      <c r="Q65" s="174"/>
      <c r="R65" s="174"/>
      <c r="S65" s="174"/>
      <c r="T65" s="174"/>
      <c r="U65" s="174"/>
      <c r="V65" s="174"/>
      <c r="W65" s="174"/>
      <c r="X65" s="174"/>
      <c r="Y65" s="239">
        <v>1.1000000000000001</v>
      </c>
      <c r="Z65" s="5" t="s">
        <v>399</v>
      </c>
      <c r="AA65" s="5"/>
    </row>
    <row r="66" spans="1:31" s="1" customFormat="1" ht="28.5" customHeight="1" x14ac:dyDescent="0.2">
      <c r="A66" s="81">
        <v>31</v>
      </c>
      <c r="B66" s="447"/>
      <c r="C66" s="348"/>
      <c r="D66" s="176" t="s">
        <v>81</v>
      </c>
      <c r="E66" s="176" t="s">
        <v>202</v>
      </c>
      <c r="F66" s="176">
        <v>5</v>
      </c>
      <c r="G66" s="174" t="s">
        <v>32</v>
      </c>
      <c r="H66" s="176">
        <v>18</v>
      </c>
      <c r="I66" s="176">
        <v>15</v>
      </c>
      <c r="J66" s="174">
        <v>30</v>
      </c>
      <c r="K66" s="174"/>
      <c r="L66" s="174"/>
      <c r="M66" s="174">
        <v>15</v>
      </c>
      <c r="N66" s="174"/>
      <c r="O66" s="5" t="s">
        <v>400</v>
      </c>
      <c r="P66" s="5"/>
      <c r="Q66" s="174"/>
      <c r="R66" s="174"/>
      <c r="S66" s="174"/>
      <c r="T66" s="174"/>
      <c r="U66" s="174"/>
      <c r="V66" s="174"/>
      <c r="W66" s="174"/>
      <c r="X66" s="174"/>
      <c r="Y66" s="239">
        <v>2.1</v>
      </c>
      <c r="Z66" s="5" t="s">
        <v>400</v>
      </c>
      <c r="AA66" s="5"/>
    </row>
    <row r="67" spans="1:31" s="1" customFormat="1" ht="19.5" thickBot="1" x14ac:dyDescent="0.25">
      <c r="A67" s="448" t="s">
        <v>33</v>
      </c>
      <c r="B67" s="449"/>
      <c r="C67" s="449"/>
      <c r="D67" s="449"/>
      <c r="E67" s="449"/>
      <c r="F67" s="449"/>
      <c r="G67" s="450"/>
      <c r="H67" s="63"/>
      <c r="I67" s="63">
        <f t="shared" ref="I67:Y67" si="0">SUM(I13:I66)</f>
        <v>660</v>
      </c>
      <c r="J67" s="63">
        <f t="shared" si="0"/>
        <v>1170</v>
      </c>
      <c r="K67" s="63">
        <f t="shared" si="0"/>
        <v>0</v>
      </c>
      <c r="L67" s="63">
        <f t="shared" si="0"/>
        <v>0</v>
      </c>
      <c r="M67" s="63">
        <f t="shared" si="0"/>
        <v>449</v>
      </c>
      <c r="N67" s="63">
        <f t="shared" si="0"/>
        <v>0</v>
      </c>
      <c r="O67" s="63">
        <f t="shared" si="0"/>
        <v>0</v>
      </c>
      <c r="P67" s="63">
        <f t="shared" si="0"/>
        <v>0</v>
      </c>
      <c r="Q67" s="63">
        <f t="shared" si="0"/>
        <v>0</v>
      </c>
      <c r="R67" s="63">
        <f t="shared" si="0"/>
        <v>0</v>
      </c>
      <c r="S67" s="63">
        <f t="shared" si="0"/>
        <v>0</v>
      </c>
      <c r="T67" s="63">
        <f t="shared" si="0"/>
        <v>0</v>
      </c>
      <c r="U67" s="63">
        <f t="shared" si="0"/>
        <v>0</v>
      </c>
      <c r="V67" s="63">
        <f t="shared" si="0"/>
        <v>0</v>
      </c>
      <c r="W67" s="63">
        <f t="shared" si="0"/>
        <v>0</v>
      </c>
      <c r="X67" s="63">
        <f t="shared" si="0"/>
        <v>0</v>
      </c>
      <c r="Y67" s="64">
        <f t="shared" si="0"/>
        <v>73.400000000000006</v>
      </c>
    </row>
    <row r="68" spans="1:31" s="1" customFormat="1" ht="19.5" thickBot="1" x14ac:dyDescent="0.25">
      <c r="A68" s="451" t="s">
        <v>31</v>
      </c>
      <c r="B68" s="452"/>
      <c r="C68" s="452"/>
      <c r="D68" s="452"/>
      <c r="E68" s="452"/>
      <c r="F68" s="452"/>
      <c r="G68" s="453"/>
      <c r="H68" s="79"/>
      <c r="I68" s="79" t="e">
        <f>I67+#REF!</f>
        <v>#REF!</v>
      </c>
      <c r="J68" s="103" t="e">
        <f>J67+#REF!</f>
        <v>#REF!</v>
      </c>
      <c r="K68" s="103" t="e">
        <f>K67+#REF!</f>
        <v>#REF!</v>
      </c>
      <c r="L68" s="103" t="e">
        <f>L67+#REF!</f>
        <v>#REF!</v>
      </c>
      <c r="M68" s="103" t="e">
        <f>M67+#REF!</f>
        <v>#REF!</v>
      </c>
      <c r="N68" s="103" t="e">
        <f>N67+#REF!</f>
        <v>#REF!</v>
      </c>
      <c r="O68" s="103" t="e">
        <f>O67+#REF!</f>
        <v>#REF!</v>
      </c>
      <c r="P68" s="103" t="e">
        <f>P67+#REF!</f>
        <v>#REF!</v>
      </c>
      <c r="Q68" s="103" t="e">
        <f>Q67+#REF!</f>
        <v>#REF!</v>
      </c>
      <c r="R68" s="103" t="e">
        <f>R67+#REF!</f>
        <v>#REF!</v>
      </c>
      <c r="S68" s="103" t="e">
        <f>S67+#REF!</f>
        <v>#REF!</v>
      </c>
      <c r="T68" s="103" t="e">
        <f>T67+#REF!</f>
        <v>#REF!</v>
      </c>
      <c r="U68" s="103" t="e">
        <f>U67+#REF!</f>
        <v>#REF!</v>
      </c>
      <c r="V68" s="103" t="e">
        <f>V67+#REF!</f>
        <v>#REF!</v>
      </c>
      <c r="W68" s="103" t="e">
        <f>W67+#REF!</f>
        <v>#REF!</v>
      </c>
      <c r="X68" s="103" t="e">
        <f>X67+#REF!</f>
        <v>#REF!</v>
      </c>
      <c r="Y68" s="103" t="e">
        <f>Y67+#REF!</f>
        <v>#REF!</v>
      </c>
    </row>
    <row r="69" spans="1:31" s="1" customFormat="1" x14ac:dyDescent="0.3">
      <c r="A69" s="23"/>
      <c r="B69" s="33"/>
      <c r="C69" s="3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8"/>
      <c r="AE69" s="17"/>
    </row>
    <row r="70" spans="1:31" s="1" customFormat="1" x14ac:dyDescent="0.3">
      <c r="A70" s="23"/>
      <c r="B70" s="122" t="s">
        <v>164</v>
      </c>
      <c r="C70" s="330"/>
      <c r="D70" s="6"/>
      <c r="E70" s="6"/>
      <c r="F70" s="87"/>
      <c r="G70" s="86"/>
      <c r="H70" s="86"/>
      <c r="I70" s="86"/>
      <c r="J70" s="87" t="s">
        <v>40</v>
      </c>
      <c r="K70" s="26"/>
      <c r="L70" s="87" t="s">
        <v>165</v>
      </c>
      <c r="M70" s="26"/>
      <c r="N70" s="26"/>
      <c r="O70" s="27"/>
      <c r="P70" s="26"/>
      <c r="Q70" s="27"/>
      <c r="R70" s="26"/>
      <c r="S70" s="26"/>
      <c r="T70" s="26"/>
      <c r="U70" s="6"/>
      <c r="V70" s="6"/>
      <c r="W70" s="6"/>
      <c r="X70" s="6"/>
      <c r="Y70" s="23"/>
    </row>
    <row r="71" spans="1:31" s="1" customFormat="1" x14ac:dyDescent="0.3">
      <c r="A71" s="23"/>
      <c r="B71" s="394" t="s">
        <v>207</v>
      </c>
      <c r="C71" s="394"/>
      <c r="D71" s="394"/>
      <c r="E71" s="394"/>
      <c r="F71" s="6"/>
      <c r="G71" s="86"/>
      <c r="H71" s="86"/>
      <c r="I71" s="86"/>
      <c r="J71" s="88"/>
      <c r="K71" s="26"/>
      <c r="L71" s="26" t="s">
        <v>208</v>
      </c>
      <c r="M71" s="26"/>
      <c r="N71" s="26"/>
      <c r="O71" s="6"/>
      <c r="P71" s="6"/>
      <c r="Q71" s="23"/>
      <c r="R71" s="6"/>
      <c r="S71" s="88"/>
      <c r="T71" s="88"/>
      <c r="U71" s="6"/>
      <c r="V71" s="88"/>
      <c r="W71" s="88"/>
      <c r="X71" s="6"/>
      <c r="Y71" s="23"/>
    </row>
    <row r="72" spans="1:31" s="1" customFormat="1" x14ac:dyDescent="0.3">
      <c r="A72" s="23"/>
      <c r="B72" s="33"/>
      <c r="C72" s="3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</row>
    <row r="73" spans="1:31" s="1" customFormat="1" x14ac:dyDescent="0.3">
      <c r="A73" s="23"/>
      <c r="B73" s="33"/>
      <c r="C73" s="3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</row>
    <row r="74" spans="1:31" s="1" customFormat="1" x14ac:dyDescent="0.3">
      <c r="A74" s="23"/>
      <c r="B74" s="33"/>
      <c r="C74" s="3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</row>
    <row r="75" spans="1:31" s="1" customFormat="1" x14ac:dyDescent="0.3">
      <c r="A75" s="23"/>
      <c r="B75" s="33"/>
      <c r="C75" s="3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</row>
    <row r="76" spans="1:31" s="1" customFormat="1" x14ac:dyDescent="0.3">
      <c r="A76" s="23"/>
      <c r="B76" s="33"/>
      <c r="C76" s="3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</row>
    <row r="77" spans="1:31" s="1" customFormat="1" x14ac:dyDescent="0.3">
      <c r="A77" s="23"/>
      <c r="B77" s="33"/>
      <c r="C77" s="3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</row>
    <row r="78" spans="1:31" s="1" customFormat="1" x14ac:dyDescent="0.3">
      <c r="A78" s="23"/>
      <c r="B78" s="33"/>
      <c r="C78" s="3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</row>
    <row r="79" spans="1:31" s="1" customFormat="1" x14ac:dyDescent="0.3">
      <c r="A79" s="23"/>
      <c r="B79" s="33"/>
      <c r="C79" s="3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</row>
    <row r="80" spans="1:31" s="1" customFormat="1" x14ac:dyDescent="0.3">
      <c r="A80" s="23"/>
      <c r="B80" s="33"/>
      <c r="C80" s="3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</row>
    <row r="81" spans="1:25" s="1" customFormat="1" x14ac:dyDescent="0.3">
      <c r="A81" s="23"/>
      <c r="B81" s="33"/>
      <c r="C81" s="3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</row>
    <row r="82" spans="1:25" s="1" customFormat="1" x14ac:dyDescent="0.3">
      <c r="A82" s="23"/>
      <c r="B82" s="33"/>
      <c r="C82" s="3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</row>
    <row r="83" spans="1:25" s="1" customFormat="1" x14ac:dyDescent="0.3">
      <c r="A83" s="23"/>
      <c r="B83" s="33"/>
      <c r="C83" s="3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</row>
    <row r="84" spans="1:25" s="1" customFormat="1" x14ac:dyDescent="0.3">
      <c r="A84" s="23"/>
      <c r="B84" s="33"/>
      <c r="C84" s="3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</row>
    <row r="85" spans="1:25" s="1" customFormat="1" x14ac:dyDescent="0.3">
      <c r="A85" s="23"/>
      <c r="B85" s="33"/>
      <c r="C85" s="3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</row>
    <row r="86" spans="1:25" s="1" customFormat="1" x14ac:dyDescent="0.3">
      <c r="A86" s="23"/>
      <c r="B86" s="33"/>
      <c r="C86" s="3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</row>
    <row r="87" spans="1:25" s="1" customFormat="1" x14ac:dyDescent="0.3">
      <c r="A87" s="23"/>
      <c r="B87" s="33"/>
      <c r="C87" s="3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</row>
    <row r="88" spans="1:25" s="1" customFormat="1" x14ac:dyDescent="0.3">
      <c r="A88" s="23"/>
      <c r="B88" s="33"/>
      <c r="C88" s="3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</row>
    <row r="89" spans="1:25" s="1" customFormat="1" x14ac:dyDescent="0.3">
      <c r="A89" s="23"/>
      <c r="B89" s="33"/>
      <c r="C89" s="3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</row>
    <row r="90" spans="1:25" s="1" customFormat="1" x14ac:dyDescent="0.3">
      <c r="A90" s="23"/>
      <c r="B90" s="33"/>
      <c r="C90" s="3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</row>
    <row r="91" spans="1:25" s="1" customFormat="1" x14ac:dyDescent="0.3">
      <c r="A91" s="23"/>
      <c r="B91" s="33"/>
      <c r="C91" s="3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</row>
    <row r="92" spans="1:25" s="1" customFormat="1" x14ac:dyDescent="0.3">
      <c r="A92" s="23"/>
      <c r="B92" s="33"/>
      <c r="C92" s="3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</row>
    <row r="93" spans="1:25" s="1" customFormat="1" x14ac:dyDescent="0.3">
      <c r="A93" s="23"/>
      <c r="B93" s="33"/>
      <c r="C93" s="3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</row>
    <row r="94" spans="1:25" s="1" customFormat="1" x14ac:dyDescent="0.3">
      <c r="A94" s="23"/>
      <c r="B94" s="33"/>
      <c r="C94" s="3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</row>
    <row r="95" spans="1:25" s="1" customFormat="1" x14ac:dyDescent="0.3">
      <c r="A95" s="23"/>
      <c r="B95" s="33"/>
      <c r="C95" s="3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</row>
    <row r="96" spans="1:25" s="1" customFormat="1" x14ac:dyDescent="0.3">
      <c r="A96" s="23"/>
      <c r="B96" s="33"/>
      <c r="C96" s="3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</row>
    <row r="97" spans="1:25" s="1" customFormat="1" x14ac:dyDescent="0.3">
      <c r="A97" s="23"/>
      <c r="B97" s="33"/>
      <c r="C97" s="3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</row>
    <row r="98" spans="1:25" s="1" customFormat="1" x14ac:dyDescent="0.3">
      <c r="A98" s="23"/>
      <c r="B98" s="33"/>
      <c r="C98" s="3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</row>
    <row r="99" spans="1:25" s="1" customFormat="1" x14ac:dyDescent="0.3">
      <c r="A99" s="23"/>
      <c r="B99" s="33"/>
      <c r="C99" s="3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</row>
    <row r="100" spans="1:25" s="1" customFormat="1" x14ac:dyDescent="0.3">
      <c r="A100" s="23"/>
      <c r="B100" s="33"/>
      <c r="C100" s="3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</row>
    <row r="101" spans="1:25" s="1" customFormat="1" x14ac:dyDescent="0.3">
      <c r="A101" s="23"/>
      <c r="B101" s="33"/>
      <c r="C101" s="3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</row>
    <row r="102" spans="1:25" s="1" customFormat="1" x14ac:dyDescent="0.3">
      <c r="A102" s="23"/>
      <c r="B102" s="33"/>
      <c r="C102" s="3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</row>
    <row r="103" spans="1:25" s="1" customFormat="1" x14ac:dyDescent="0.3">
      <c r="A103" s="23"/>
      <c r="B103" s="33"/>
      <c r="C103" s="3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</row>
    <row r="104" spans="1:25" s="1" customFormat="1" x14ac:dyDescent="0.3">
      <c r="A104" s="23"/>
      <c r="B104" s="33"/>
      <c r="C104" s="3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</row>
    <row r="105" spans="1:25" s="1" customFormat="1" x14ac:dyDescent="0.3">
      <c r="A105" s="23"/>
      <c r="B105" s="33"/>
      <c r="C105" s="3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</row>
    <row r="106" spans="1:25" s="1" customFormat="1" x14ac:dyDescent="0.3">
      <c r="A106" s="23"/>
      <c r="B106" s="33"/>
      <c r="C106" s="3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</row>
    <row r="107" spans="1:25" s="1" customFormat="1" x14ac:dyDescent="0.3">
      <c r="A107" s="23"/>
      <c r="B107" s="33"/>
      <c r="C107" s="3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</row>
  </sheetData>
  <mergeCells count="60">
    <mergeCell ref="A12:Y12"/>
    <mergeCell ref="A58:A60"/>
    <mergeCell ref="B58:B60"/>
    <mergeCell ref="A61:A63"/>
    <mergeCell ref="B61:B63"/>
    <mergeCell ref="B52:B54"/>
    <mergeCell ref="B55:B57"/>
    <mergeCell ref="B17:B20"/>
    <mergeCell ref="B39:B40"/>
    <mergeCell ref="B41:B42"/>
    <mergeCell ref="B43:B44"/>
    <mergeCell ref="B21:B26"/>
    <mergeCell ref="A17:A20"/>
    <mergeCell ref="A39:A40"/>
    <mergeCell ref="B27:B32"/>
    <mergeCell ref="B33:B38"/>
    <mergeCell ref="B71:E71"/>
    <mergeCell ref="B64:B66"/>
    <mergeCell ref="A67:G67"/>
    <mergeCell ref="A68:G68"/>
    <mergeCell ref="A13:A16"/>
    <mergeCell ref="B13:B16"/>
    <mergeCell ref="A52:A54"/>
    <mergeCell ref="A55:A57"/>
    <mergeCell ref="B45:B46"/>
    <mergeCell ref="A21:A26"/>
    <mergeCell ref="A27:A32"/>
    <mergeCell ref="A33:A38"/>
    <mergeCell ref="A41:A42"/>
    <mergeCell ref="A43:A44"/>
    <mergeCell ref="A45:A46"/>
    <mergeCell ref="C27:C32"/>
    <mergeCell ref="V9:V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U9"/>
    <mergeCell ref="C21:C26"/>
    <mergeCell ref="C33:C38"/>
    <mergeCell ref="C13:C16"/>
    <mergeCell ref="B1:X1"/>
    <mergeCell ref="B2:X2"/>
    <mergeCell ref="A7:Y7"/>
    <mergeCell ref="A8:Y8"/>
    <mergeCell ref="A9:A10"/>
    <mergeCell ref="B9:B10"/>
    <mergeCell ref="D9:D10"/>
    <mergeCell ref="E9:E10"/>
    <mergeCell ref="F9:F10"/>
    <mergeCell ref="G9:G10"/>
    <mergeCell ref="W9:W10"/>
    <mergeCell ref="X9:X10"/>
    <mergeCell ref="Y9:Y10"/>
  </mergeCells>
  <phoneticPr fontId="18" type="noConversion"/>
  <pageMargins left="0.51181102362204722" right="0.11811023622047245" top="0.55118110236220474" bottom="0.15748031496062992" header="0.31496062992125984" footer="0.31496062992125984"/>
  <pageSetup paperSize="9" scale="58" orientation="landscape" horizontalDpi="300" verticalDpi="300" r:id="rId1"/>
  <rowBreaks count="2" manualBreakCount="2">
    <brk id="34" max="23" man="1"/>
    <brk id="62" max="2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T140"/>
  <sheetViews>
    <sheetView view="pageBreakPreview" topLeftCell="A97" zoomScale="57" zoomScaleNormal="48" zoomScaleSheetLayoutView="57" workbookViewId="0">
      <selection activeCell="H61" sqref="H61:H68"/>
    </sheetView>
  </sheetViews>
  <sheetFormatPr defaultColWidth="9.28515625" defaultRowHeight="18.75" x14ac:dyDescent="0.3"/>
  <cols>
    <col min="1" max="1" width="5.5703125" style="35" customWidth="1"/>
    <col min="2" max="2" width="52.42578125" style="73" customWidth="1"/>
    <col min="3" max="3" width="13.5703125" style="315" customWidth="1"/>
    <col min="4" max="4" width="14.7109375" style="35" customWidth="1"/>
    <col min="5" max="5" width="27.85546875" style="35" customWidth="1"/>
    <col min="6" max="6" width="8.28515625" style="35" customWidth="1"/>
    <col min="7" max="7" width="8.5703125" style="35" customWidth="1"/>
    <col min="8" max="8" width="8" style="35" customWidth="1"/>
    <col min="9" max="10" width="10.7109375" style="35" customWidth="1"/>
    <col min="11" max="12" width="6.7109375" style="35" customWidth="1"/>
    <col min="13" max="13" width="9" style="35" customWidth="1"/>
    <col min="14" max="14" width="7.7109375" style="35" customWidth="1"/>
    <col min="15" max="15" width="8.42578125" style="35" customWidth="1"/>
    <col min="16" max="16" width="9.28515625" style="35" customWidth="1"/>
    <col min="17" max="21" width="7.7109375" style="35" customWidth="1"/>
    <col min="22" max="22" width="9.28515625" style="35" customWidth="1"/>
    <col min="23" max="23" width="7.28515625" style="35" customWidth="1"/>
    <col min="24" max="24" width="9.28515625" style="35" customWidth="1"/>
    <col min="25" max="25" width="13.42578125" style="35" customWidth="1"/>
    <col min="26" max="26" width="4.7109375" style="1" customWidth="1"/>
    <col min="27" max="16384" width="9.28515625" style="1"/>
  </cols>
  <sheetData>
    <row r="1" spans="1:46" s="71" customFormat="1" x14ac:dyDescent="0.3">
      <c r="A1" s="131"/>
      <c r="B1" s="413" t="s">
        <v>39</v>
      </c>
      <c r="C1" s="413"/>
      <c r="D1" s="413"/>
      <c r="E1" s="413"/>
      <c r="F1" s="413"/>
      <c r="G1" s="413"/>
      <c r="H1" s="413"/>
      <c r="I1" s="413"/>
      <c r="J1" s="413"/>
      <c r="K1" s="413"/>
      <c r="L1" s="413"/>
      <c r="M1" s="413"/>
      <c r="N1" s="413"/>
      <c r="O1" s="413"/>
      <c r="P1" s="413"/>
      <c r="Q1" s="413"/>
      <c r="R1" s="413"/>
      <c r="S1" s="413"/>
      <c r="T1" s="413"/>
      <c r="U1" s="413"/>
      <c r="V1" s="413"/>
      <c r="W1" s="413"/>
      <c r="X1" s="413"/>
      <c r="Y1" s="413"/>
    </row>
    <row r="2" spans="1:46" s="71" customFormat="1" x14ac:dyDescent="0.3">
      <c r="A2" s="131"/>
      <c r="B2" s="31"/>
      <c r="C2" s="31"/>
      <c r="D2" s="19"/>
      <c r="E2" s="19"/>
      <c r="F2" s="19"/>
      <c r="G2" s="19"/>
      <c r="H2" s="19"/>
      <c r="I2" s="131"/>
      <c r="J2" s="131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22" t="s">
        <v>17</v>
      </c>
    </row>
    <row r="3" spans="1:46" s="71" customFormat="1" x14ac:dyDescent="0.3">
      <c r="A3" s="131"/>
      <c r="B3" s="31"/>
      <c r="C3" s="31"/>
      <c r="D3" s="19"/>
      <c r="E3" s="19"/>
      <c r="F3" s="19"/>
      <c r="G3" s="19"/>
      <c r="H3" s="131"/>
      <c r="I3" s="131"/>
      <c r="J3" s="131"/>
      <c r="K3" s="6"/>
      <c r="L3" s="6"/>
      <c r="M3" s="6"/>
      <c r="N3" s="6"/>
      <c r="O3" s="6"/>
      <c r="P3" s="6"/>
      <c r="Q3" s="19" t="s">
        <v>18</v>
      </c>
      <c r="R3" s="6"/>
      <c r="S3" s="6"/>
      <c r="T3" s="6"/>
      <c r="U3" s="6"/>
      <c r="V3" s="6"/>
      <c r="W3" s="6"/>
      <c r="X3" s="24"/>
    </row>
    <row r="4" spans="1:46" s="71" customFormat="1" x14ac:dyDescent="0.3">
      <c r="A4" s="131"/>
      <c r="B4" s="31"/>
      <c r="C4" s="31"/>
      <c r="D4" s="19"/>
      <c r="E4" s="19"/>
      <c r="F4" s="19"/>
      <c r="G4" s="19"/>
      <c r="H4" s="131"/>
      <c r="I4" s="131"/>
      <c r="J4" s="131"/>
      <c r="K4" s="6"/>
      <c r="L4" s="6"/>
      <c r="M4" s="6"/>
      <c r="N4" s="6"/>
      <c r="O4" s="6"/>
      <c r="P4" s="6"/>
      <c r="Q4" s="19" t="s">
        <v>162</v>
      </c>
      <c r="R4" s="6"/>
      <c r="S4" s="6"/>
      <c r="T4" s="6"/>
      <c r="U4" s="6"/>
      <c r="V4" s="6"/>
      <c r="W4" s="6"/>
      <c r="X4" s="24"/>
    </row>
    <row r="5" spans="1:46" s="71" customFormat="1" x14ac:dyDescent="0.3">
      <c r="A5" s="131"/>
      <c r="B5" s="31"/>
      <c r="C5" s="31"/>
      <c r="D5" s="6"/>
      <c r="E5" s="6"/>
      <c r="F5" s="6"/>
      <c r="G5" s="131"/>
      <c r="H5" s="131"/>
      <c r="I5" s="131"/>
      <c r="J5" s="131"/>
      <c r="K5" s="6"/>
      <c r="L5" s="6"/>
      <c r="M5" s="6"/>
      <c r="N5" s="6"/>
      <c r="O5" s="6"/>
      <c r="P5" s="6"/>
      <c r="Q5" s="19" t="s">
        <v>34</v>
      </c>
      <c r="R5" s="6"/>
      <c r="S5" s="6"/>
      <c r="T5" s="6"/>
      <c r="U5" s="6"/>
      <c r="V5" s="6"/>
      <c r="W5" s="6"/>
      <c r="X5" s="24"/>
    </row>
    <row r="6" spans="1:46" s="71" customFormat="1" x14ac:dyDescent="0.2">
      <c r="A6" s="414" t="s">
        <v>381</v>
      </c>
      <c r="B6" s="414"/>
      <c r="C6" s="414"/>
      <c r="D6" s="414"/>
      <c r="E6" s="414"/>
      <c r="F6" s="414"/>
      <c r="G6" s="414"/>
      <c r="H6" s="414"/>
      <c r="I6" s="414"/>
      <c r="J6" s="414"/>
      <c r="K6" s="414"/>
      <c r="L6" s="414"/>
      <c r="M6" s="414"/>
      <c r="N6" s="414"/>
      <c r="O6" s="414"/>
      <c r="P6" s="414"/>
      <c r="Q6" s="414"/>
      <c r="R6" s="414"/>
      <c r="S6" s="414"/>
      <c r="T6" s="414"/>
      <c r="U6" s="414"/>
      <c r="V6" s="414"/>
      <c r="W6" s="414"/>
      <c r="X6" s="414"/>
      <c r="Y6" s="414"/>
    </row>
    <row r="7" spans="1:46" s="71" customFormat="1" ht="34.5" customHeight="1" thickBot="1" x14ac:dyDescent="0.25">
      <c r="A7" s="414" t="s">
        <v>6</v>
      </c>
      <c r="B7" s="414"/>
      <c r="C7" s="414"/>
      <c r="D7" s="414"/>
      <c r="E7" s="414"/>
      <c r="F7" s="414"/>
      <c r="G7" s="414"/>
      <c r="H7" s="414"/>
      <c r="I7" s="414"/>
      <c r="J7" s="414"/>
      <c r="K7" s="414"/>
      <c r="L7" s="414"/>
      <c r="M7" s="414"/>
      <c r="N7" s="414"/>
      <c r="O7" s="414"/>
      <c r="P7" s="414"/>
      <c r="Q7" s="414"/>
      <c r="R7" s="414"/>
      <c r="S7" s="414"/>
      <c r="T7" s="414"/>
      <c r="U7" s="414"/>
      <c r="V7" s="414"/>
      <c r="W7" s="414"/>
      <c r="X7" s="414"/>
      <c r="Y7" s="414"/>
    </row>
    <row r="8" spans="1:46" ht="18.75" customHeight="1" x14ac:dyDescent="0.2">
      <c r="A8" s="416" t="s">
        <v>19</v>
      </c>
      <c r="B8" s="446" t="s">
        <v>20</v>
      </c>
      <c r="C8" s="310"/>
      <c r="D8" s="410" t="s">
        <v>5</v>
      </c>
      <c r="E8" s="410" t="s">
        <v>13</v>
      </c>
      <c r="F8" s="410" t="s">
        <v>59</v>
      </c>
      <c r="G8" s="410" t="s">
        <v>21</v>
      </c>
      <c r="H8" s="410" t="s">
        <v>22</v>
      </c>
      <c r="I8" s="410" t="s">
        <v>23</v>
      </c>
      <c r="J8" s="410" t="s">
        <v>4</v>
      </c>
      <c r="K8" s="410" t="s">
        <v>3</v>
      </c>
      <c r="L8" s="410" t="s">
        <v>38</v>
      </c>
      <c r="M8" s="410" t="s">
        <v>2</v>
      </c>
      <c r="N8" s="410" t="s">
        <v>37</v>
      </c>
      <c r="O8" s="410" t="s">
        <v>15</v>
      </c>
      <c r="P8" s="410" t="s">
        <v>24</v>
      </c>
      <c r="Q8" s="410" t="s">
        <v>16</v>
      </c>
      <c r="R8" s="412" t="s">
        <v>25</v>
      </c>
      <c r="S8" s="412"/>
      <c r="T8" s="412"/>
      <c r="U8" s="412"/>
      <c r="V8" s="410" t="s">
        <v>36</v>
      </c>
      <c r="W8" s="410" t="s">
        <v>26</v>
      </c>
      <c r="X8" s="484" t="s">
        <v>1</v>
      </c>
      <c r="Y8" s="482" t="s">
        <v>64</v>
      </c>
    </row>
    <row r="9" spans="1:46" ht="88.5" customHeight="1" x14ac:dyDescent="0.2">
      <c r="A9" s="398"/>
      <c r="B9" s="401"/>
      <c r="C9" s="312" t="s">
        <v>661</v>
      </c>
      <c r="D9" s="411"/>
      <c r="E9" s="411"/>
      <c r="F9" s="411"/>
      <c r="G9" s="411"/>
      <c r="H9" s="411"/>
      <c r="I9" s="411"/>
      <c r="J9" s="411"/>
      <c r="K9" s="411"/>
      <c r="L9" s="411"/>
      <c r="M9" s="411"/>
      <c r="N9" s="411"/>
      <c r="O9" s="411"/>
      <c r="P9" s="411"/>
      <c r="Q9" s="411"/>
      <c r="R9" s="138" t="s">
        <v>28</v>
      </c>
      <c r="S9" s="138" t="s">
        <v>29</v>
      </c>
      <c r="T9" s="138" t="s">
        <v>30</v>
      </c>
      <c r="U9" s="138" t="s">
        <v>0</v>
      </c>
      <c r="V9" s="411"/>
      <c r="W9" s="411"/>
      <c r="X9" s="485"/>
      <c r="Y9" s="483"/>
    </row>
    <row r="10" spans="1:46" ht="19.5" thickBot="1" x14ac:dyDescent="0.25">
      <c r="A10" s="133">
        <v>1</v>
      </c>
      <c r="B10" s="140">
        <v>2</v>
      </c>
      <c r="C10" s="140"/>
      <c r="D10" s="136">
        <v>3</v>
      </c>
      <c r="E10" s="136">
        <v>4</v>
      </c>
      <c r="F10" s="136">
        <v>5</v>
      </c>
      <c r="G10" s="136">
        <v>6</v>
      </c>
      <c r="H10" s="136">
        <v>7</v>
      </c>
      <c r="I10" s="136">
        <v>8</v>
      </c>
      <c r="J10" s="136">
        <v>9</v>
      </c>
      <c r="K10" s="136">
        <v>10</v>
      </c>
      <c r="L10" s="136">
        <v>11</v>
      </c>
      <c r="M10" s="136">
        <v>12</v>
      </c>
      <c r="N10" s="136">
        <v>13</v>
      </c>
      <c r="O10" s="136">
        <v>14</v>
      </c>
      <c r="P10" s="136">
        <v>15</v>
      </c>
      <c r="Q10" s="136">
        <v>16</v>
      </c>
      <c r="R10" s="136">
        <v>17</v>
      </c>
      <c r="S10" s="136">
        <v>18</v>
      </c>
      <c r="T10" s="136">
        <v>19</v>
      </c>
      <c r="U10" s="136">
        <v>20</v>
      </c>
      <c r="V10" s="136">
        <v>21</v>
      </c>
      <c r="W10" s="136">
        <v>22</v>
      </c>
      <c r="X10" s="136">
        <v>23</v>
      </c>
      <c r="Y10" s="68">
        <v>24</v>
      </c>
    </row>
    <row r="11" spans="1:46" s="5" customFormat="1" ht="24" customHeight="1" thickBot="1" x14ac:dyDescent="0.25">
      <c r="A11" s="477" t="s">
        <v>154</v>
      </c>
      <c r="B11" s="478"/>
      <c r="C11" s="478"/>
      <c r="D11" s="478"/>
      <c r="E11" s="478"/>
      <c r="F11" s="478"/>
      <c r="G11" s="478"/>
      <c r="H11" s="478"/>
      <c r="I11" s="478"/>
      <c r="J11" s="478"/>
      <c r="K11" s="478"/>
      <c r="L11" s="478"/>
      <c r="M11" s="478"/>
      <c r="N11" s="478"/>
      <c r="O11" s="478"/>
      <c r="P11" s="478"/>
      <c r="Q11" s="478"/>
      <c r="R11" s="478"/>
      <c r="S11" s="478"/>
      <c r="T11" s="478"/>
      <c r="U11" s="478"/>
      <c r="V11" s="478"/>
      <c r="W11" s="478"/>
      <c r="X11" s="478"/>
      <c r="Y11" s="479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</row>
    <row r="12" spans="1:46" s="16" customFormat="1" ht="22.5" customHeight="1" x14ac:dyDescent="0.2">
      <c r="A12" s="480">
        <v>1</v>
      </c>
      <c r="B12" s="469" t="s">
        <v>63</v>
      </c>
      <c r="C12" s="496" t="s">
        <v>666</v>
      </c>
      <c r="D12" s="151" t="s">
        <v>51</v>
      </c>
      <c r="E12" s="192" t="s">
        <v>100</v>
      </c>
      <c r="F12" s="192">
        <v>5</v>
      </c>
      <c r="G12" s="96" t="s">
        <v>35</v>
      </c>
      <c r="H12" s="192">
        <v>27</v>
      </c>
      <c r="I12" s="192">
        <v>30</v>
      </c>
      <c r="J12" s="151">
        <v>8</v>
      </c>
      <c r="K12" s="151">
        <v>7</v>
      </c>
      <c r="L12" s="151"/>
      <c r="M12" s="151">
        <v>15</v>
      </c>
      <c r="N12" s="151"/>
      <c r="O12" s="16" t="s">
        <v>526</v>
      </c>
      <c r="Q12" s="151"/>
      <c r="R12" s="151"/>
      <c r="S12" s="151"/>
      <c r="T12" s="151"/>
      <c r="U12" s="151"/>
      <c r="V12" s="151"/>
      <c r="W12" s="151"/>
      <c r="X12" s="151"/>
      <c r="Y12" s="152">
        <v>2.1</v>
      </c>
      <c r="Z12" s="4"/>
      <c r="AA12" s="16" t="s">
        <v>526</v>
      </c>
    </row>
    <row r="13" spans="1:46" s="16" customFormat="1" ht="22.5" customHeight="1" x14ac:dyDescent="0.2">
      <c r="A13" s="468"/>
      <c r="B13" s="470"/>
      <c r="C13" s="497"/>
      <c r="D13" s="151" t="s">
        <v>51</v>
      </c>
      <c r="E13" s="192" t="s">
        <v>100</v>
      </c>
      <c r="F13" s="192">
        <v>5</v>
      </c>
      <c r="G13" s="96" t="s">
        <v>35</v>
      </c>
      <c r="H13" s="192"/>
      <c r="I13" s="192"/>
      <c r="J13" s="151"/>
      <c r="K13" s="151">
        <v>7</v>
      </c>
      <c r="L13" s="151"/>
      <c r="M13" s="151"/>
      <c r="N13" s="151"/>
      <c r="O13" s="16" t="s">
        <v>526</v>
      </c>
      <c r="Q13" s="151"/>
      <c r="R13" s="151"/>
      <c r="S13" s="151"/>
      <c r="T13" s="151"/>
      <c r="U13" s="151"/>
      <c r="V13" s="151"/>
      <c r="W13" s="151"/>
      <c r="X13" s="151"/>
      <c r="Y13" s="152">
        <v>0.23</v>
      </c>
      <c r="Z13" s="4"/>
      <c r="AA13" s="16" t="s">
        <v>526</v>
      </c>
    </row>
    <row r="14" spans="1:46" s="16" customFormat="1" ht="22.5" customHeight="1" x14ac:dyDescent="0.2">
      <c r="A14" s="468"/>
      <c r="B14" s="470"/>
      <c r="C14" s="497"/>
      <c r="D14" s="150" t="s">
        <v>52</v>
      </c>
      <c r="E14" s="123" t="s">
        <v>97</v>
      </c>
      <c r="F14" s="151">
        <v>5</v>
      </c>
      <c r="G14" s="123" t="s">
        <v>35</v>
      </c>
      <c r="H14" s="123">
        <v>27</v>
      </c>
      <c r="I14" s="151">
        <v>30</v>
      </c>
      <c r="J14" s="151">
        <v>8</v>
      </c>
      <c r="K14" s="151">
        <v>7</v>
      </c>
      <c r="L14" s="151"/>
      <c r="M14" s="151"/>
      <c r="N14" s="151"/>
      <c r="O14" s="16" t="s">
        <v>514</v>
      </c>
      <c r="Q14" s="151"/>
      <c r="R14" s="151"/>
      <c r="S14" s="151"/>
      <c r="T14" s="151"/>
      <c r="U14" s="151"/>
      <c r="V14" s="151"/>
      <c r="W14" s="151"/>
      <c r="X14" s="151"/>
      <c r="Y14" s="152">
        <v>0.6</v>
      </c>
      <c r="Z14" s="4"/>
      <c r="AA14" s="16" t="s">
        <v>514</v>
      </c>
    </row>
    <row r="15" spans="1:46" s="16" customFormat="1" ht="22.5" customHeight="1" x14ac:dyDescent="0.2">
      <c r="A15" s="468"/>
      <c r="B15" s="470"/>
      <c r="C15" s="497"/>
      <c r="D15" s="150" t="s">
        <v>52</v>
      </c>
      <c r="E15" s="123" t="s">
        <v>97</v>
      </c>
      <c r="F15" s="151">
        <v>5</v>
      </c>
      <c r="G15" s="123" t="s">
        <v>35</v>
      </c>
      <c r="H15" s="123"/>
      <c r="I15" s="151"/>
      <c r="J15" s="151"/>
      <c r="K15" s="151">
        <v>7</v>
      </c>
      <c r="L15" s="151"/>
      <c r="M15" s="151"/>
      <c r="N15" s="151"/>
      <c r="O15" s="16" t="s">
        <v>514</v>
      </c>
      <c r="Q15" s="151"/>
      <c r="R15" s="151"/>
      <c r="S15" s="151"/>
      <c r="T15" s="151"/>
      <c r="U15" s="151"/>
      <c r="V15" s="151"/>
      <c r="W15" s="151"/>
      <c r="X15" s="151"/>
      <c r="Y15" s="152">
        <v>0.23</v>
      </c>
      <c r="Z15" s="4"/>
      <c r="AA15" s="16" t="s">
        <v>514</v>
      </c>
    </row>
    <row r="16" spans="1:46" s="16" customFormat="1" ht="22.5" customHeight="1" x14ac:dyDescent="0.2">
      <c r="A16" s="468"/>
      <c r="B16" s="470"/>
      <c r="C16" s="497"/>
      <c r="D16" s="150" t="s">
        <v>52</v>
      </c>
      <c r="E16" s="123" t="s">
        <v>167</v>
      </c>
      <c r="F16" s="151">
        <v>5</v>
      </c>
      <c r="G16" s="123" t="s">
        <v>35</v>
      </c>
      <c r="H16" s="123">
        <v>28</v>
      </c>
      <c r="I16" s="151"/>
      <c r="J16" s="151">
        <v>8</v>
      </c>
      <c r="K16" s="151">
        <v>7</v>
      </c>
      <c r="L16" s="151"/>
      <c r="M16" s="151"/>
      <c r="N16" s="151"/>
      <c r="O16" s="16" t="s">
        <v>514</v>
      </c>
      <c r="Q16" s="151"/>
      <c r="R16" s="151"/>
      <c r="S16" s="151"/>
      <c r="T16" s="151"/>
      <c r="U16" s="151"/>
      <c r="V16" s="151"/>
      <c r="W16" s="151"/>
      <c r="X16" s="151"/>
      <c r="Y16" s="152">
        <v>0.6</v>
      </c>
      <c r="Z16" s="4"/>
      <c r="AA16" s="16" t="s">
        <v>514</v>
      </c>
    </row>
    <row r="17" spans="1:27" s="16" customFormat="1" ht="22.5" customHeight="1" x14ac:dyDescent="0.2">
      <c r="A17" s="468"/>
      <c r="B17" s="470"/>
      <c r="C17" s="497"/>
      <c r="D17" s="150" t="s">
        <v>52</v>
      </c>
      <c r="E17" s="123" t="s">
        <v>167</v>
      </c>
      <c r="F17" s="151">
        <v>5</v>
      </c>
      <c r="G17" s="123" t="s">
        <v>35</v>
      </c>
      <c r="H17" s="123"/>
      <c r="I17" s="151"/>
      <c r="J17" s="151"/>
      <c r="K17" s="151">
        <v>7</v>
      </c>
      <c r="L17" s="151"/>
      <c r="M17" s="151"/>
      <c r="N17" s="151"/>
      <c r="O17" s="16" t="s">
        <v>514</v>
      </c>
      <c r="Q17" s="151"/>
      <c r="R17" s="151"/>
      <c r="S17" s="151"/>
      <c r="T17" s="151"/>
      <c r="U17" s="151"/>
      <c r="V17" s="151"/>
      <c r="W17" s="151"/>
      <c r="X17" s="151"/>
      <c r="Y17" s="152">
        <v>0.23</v>
      </c>
      <c r="Z17" s="4"/>
      <c r="AA17" s="16" t="s">
        <v>514</v>
      </c>
    </row>
    <row r="18" spans="1:27" s="16" customFormat="1" ht="22.5" customHeight="1" x14ac:dyDescent="0.2">
      <c r="A18" s="468"/>
      <c r="B18" s="470"/>
      <c r="C18" s="497"/>
      <c r="D18" s="150" t="s">
        <v>52</v>
      </c>
      <c r="E18" s="123" t="s">
        <v>249</v>
      </c>
      <c r="F18" s="151">
        <v>5</v>
      </c>
      <c r="G18" s="123" t="s">
        <v>35</v>
      </c>
      <c r="H18" s="123">
        <v>25</v>
      </c>
      <c r="I18" s="151"/>
      <c r="J18" s="151">
        <v>8</v>
      </c>
      <c r="K18" s="151">
        <v>7</v>
      </c>
      <c r="L18" s="151"/>
      <c r="M18" s="151"/>
      <c r="N18" s="151"/>
      <c r="O18" s="16" t="s">
        <v>514</v>
      </c>
      <c r="Q18" s="151"/>
      <c r="R18" s="151"/>
      <c r="S18" s="151"/>
      <c r="T18" s="151"/>
      <c r="U18" s="151"/>
      <c r="V18" s="151"/>
      <c r="W18" s="151"/>
      <c r="X18" s="151"/>
      <c r="Y18" s="152">
        <v>0.6</v>
      </c>
      <c r="Z18" s="4"/>
      <c r="AA18" s="16" t="s">
        <v>514</v>
      </c>
    </row>
    <row r="19" spans="1:27" s="16" customFormat="1" ht="22.5" customHeight="1" x14ac:dyDescent="0.2">
      <c r="A19" s="468"/>
      <c r="B19" s="470"/>
      <c r="C19" s="497"/>
      <c r="D19" s="150" t="s">
        <v>52</v>
      </c>
      <c r="E19" s="123" t="s">
        <v>249</v>
      </c>
      <c r="F19" s="151">
        <v>5</v>
      </c>
      <c r="G19" s="123" t="s">
        <v>35</v>
      </c>
      <c r="H19" s="123"/>
      <c r="I19" s="151"/>
      <c r="J19" s="151"/>
      <c r="K19" s="151">
        <v>7</v>
      </c>
      <c r="L19" s="151"/>
      <c r="M19" s="151"/>
      <c r="N19" s="151"/>
      <c r="O19" s="16" t="s">
        <v>514</v>
      </c>
      <c r="Q19" s="151"/>
      <c r="R19" s="151"/>
      <c r="S19" s="151"/>
      <c r="T19" s="151"/>
      <c r="U19" s="151"/>
      <c r="V19" s="151"/>
      <c r="W19" s="151"/>
      <c r="X19" s="151"/>
      <c r="Y19" s="152">
        <v>0.23</v>
      </c>
      <c r="Z19" s="4"/>
      <c r="AA19" s="16" t="s">
        <v>514</v>
      </c>
    </row>
    <row r="20" spans="1:27" s="16" customFormat="1" ht="22.5" customHeight="1" x14ac:dyDescent="0.2">
      <c r="A20" s="468"/>
      <c r="B20" s="470"/>
      <c r="C20" s="497"/>
      <c r="D20" s="150" t="s">
        <v>52</v>
      </c>
      <c r="E20" s="123" t="s">
        <v>250</v>
      </c>
      <c r="F20" s="151">
        <v>5</v>
      </c>
      <c r="G20" s="123" t="s">
        <v>35</v>
      </c>
      <c r="H20" s="123">
        <v>27</v>
      </c>
      <c r="I20" s="151"/>
      <c r="J20" s="151">
        <v>8</v>
      </c>
      <c r="K20" s="151">
        <v>7</v>
      </c>
      <c r="L20" s="151"/>
      <c r="M20" s="151"/>
      <c r="N20" s="151"/>
      <c r="O20" s="16" t="s">
        <v>514</v>
      </c>
      <c r="Q20" s="151"/>
      <c r="R20" s="151"/>
      <c r="S20" s="151"/>
      <c r="T20" s="151"/>
      <c r="U20" s="151"/>
      <c r="V20" s="151"/>
      <c r="W20" s="151"/>
      <c r="X20" s="151"/>
      <c r="Y20" s="152">
        <v>0.6</v>
      </c>
      <c r="Z20" s="4"/>
      <c r="AA20" s="16" t="s">
        <v>514</v>
      </c>
    </row>
    <row r="21" spans="1:27" s="16" customFormat="1" ht="22.5" customHeight="1" x14ac:dyDescent="0.2">
      <c r="A21" s="468"/>
      <c r="B21" s="470"/>
      <c r="C21" s="497"/>
      <c r="D21" s="150" t="s">
        <v>52</v>
      </c>
      <c r="E21" s="123" t="s">
        <v>250</v>
      </c>
      <c r="F21" s="151">
        <v>5</v>
      </c>
      <c r="G21" s="123" t="s">
        <v>35</v>
      </c>
      <c r="H21" s="123"/>
      <c r="I21" s="151"/>
      <c r="J21" s="151"/>
      <c r="K21" s="151">
        <v>7</v>
      </c>
      <c r="L21" s="151"/>
      <c r="M21" s="151"/>
      <c r="N21" s="151"/>
      <c r="O21" s="16" t="s">
        <v>514</v>
      </c>
      <c r="Q21" s="151"/>
      <c r="R21" s="151"/>
      <c r="S21" s="151"/>
      <c r="T21" s="151"/>
      <c r="U21" s="151"/>
      <c r="V21" s="151"/>
      <c r="W21" s="151"/>
      <c r="X21" s="151"/>
      <c r="Y21" s="152">
        <v>0.23</v>
      </c>
      <c r="Z21" s="4"/>
      <c r="AA21" s="16" t="s">
        <v>514</v>
      </c>
    </row>
    <row r="22" spans="1:27" s="16" customFormat="1" ht="22.5" customHeight="1" x14ac:dyDescent="0.2">
      <c r="A22" s="468"/>
      <c r="B22" s="470"/>
      <c r="C22" s="497"/>
      <c r="D22" s="151" t="s">
        <v>51</v>
      </c>
      <c r="E22" s="192" t="s">
        <v>101</v>
      </c>
      <c r="F22" s="192">
        <v>5</v>
      </c>
      <c r="G22" s="96" t="s">
        <v>32</v>
      </c>
      <c r="H22" s="192">
        <v>10</v>
      </c>
      <c r="I22" s="192">
        <v>30</v>
      </c>
      <c r="J22" s="151">
        <v>8</v>
      </c>
      <c r="K22" s="151">
        <v>7</v>
      </c>
      <c r="L22" s="151"/>
      <c r="M22" s="151">
        <v>15</v>
      </c>
      <c r="N22" s="151"/>
      <c r="O22" s="296" t="s">
        <v>637</v>
      </c>
      <c r="P22" s="297"/>
      <c r="Q22" s="298"/>
      <c r="R22" s="151"/>
      <c r="S22" s="151"/>
      <c r="T22" s="151"/>
      <c r="U22" s="151"/>
      <c r="V22" s="151"/>
      <c r="W22" s="151"/>
      <c r="X22" s="151"/>
      <c r="Y22" s="155">
        <v>2.1</v>
      </c>
      <c r="Z22" s="4"/>
      <c r="AA22" s="194" t="s">
        <v>647</v>
      </c>
    </row>
    <row r="23" spans="1:27" s="16" customFormat="1" ht="22.5" customHeight="1" x14ac:dyDescent="0.2">
      <c r="A23" s="468"/>
      <c r="B23" s="470"/>
      <c r="C23" s="497"/>
      <c r="D23" s="150" t="s">
        <v>52</v>
      </c>
      <c r="E23" s="123" t="s">
        <v>102</v>
      </c>
      <c r="F23" s="151">
        <v>5</v>
      </c>
      <c r="G23" s="123" t="s">
        <v>32</v>
      </c>
      <c r="H23" s="123">
        <v>30</v>
      </c>
      <c r="I23" s="151"/>
      <c r="J23" s="151">
        <v>8</v>
      </c>
      <c r="K23" s="151">
        <v>7</v>
      </c>
      <c r="L23" s="151"/>
      <c r="M23" s="151"/>
      <c r="N23" s="151"/>
      <c r="O23" s="16" t="s">
        <v>515</v>
      </c>
      <c r="Q23" s="151"/>
      <c r="R23" s="151"/>
      <c r="S23" s="151"/>
      <c r="T23" s="151"/>
      <c r="U23" s="151"/>
      <c r="V23" s="151"/>
      <c r="W23" s="151"/>
      <c r="X23" s="151"/>
      <c r="Y23" s="155">
        <v>0.6</v>
      </c>
      <c r="Z23" s="4"/>
      <c r="AA23" s="16" t="s">
        <v>515</v>
      </c>
    </row>
    <row r="24" spans="1:27" s="16" customFormat="1" ht="22.5" customHeight="1" x14ac:dyDescent="0.2">
      <c r="A24" s="481"/>
      <c r="B24" s="471"/>
      <c r="C24" s="498"/>
      <c r="D24" s="150" t="s">
        <v>52</v>
      </c>
      <c r="E24" s="123" t="s">
        <v>102</v>
      </c>
      <c r="F24" s="151">
        <v>5</v>
      </c>
      <c r="G24" s="123" t="s">
        <v>32</v>
      </c>
      <c r="H24" s="123"/>
      <c r="I24" s="151"/>
      <c r="J24" s="151"/>
      <c r="K24" s="151">
        <v>7</v>
      </c>
      <c r="L24" s="151"/>
      <c r="M24" s="151"/>
      <c r="N24" s="151"/>
      <c r="O24" s="16" t="s">
        <v>515</v>
      </c>
      <c r="Q24" s="151"/>
      <c r="R24" s="151"/>
      <c r="S24" s="151"/>
      <c r="T24" s="151"/>
      <c r="U24" s="151"/>
      <c r="V24" s="151"/>
      <c r="W24" s="151"/>
      <c r="X24" s="151"/>
      <c r="Y24" s="155">
        <v>0.25</v>
      </c>
      <c r="Z24" s="4"/>
      <c r="AA24" s="16" t="s">
        <v>515</v>
      </c>
    </row>
    <row r="25" spans="1:27" s="16" customFormat="1" ht="22.5" customHeight="1" x14ac:dyDescent="0.2">
      <c r="A25" s="467">
        <v>6</v>
      </c>
      <c r="B25" s="476" t="s">
        <v>242</v>
      </c>
      <c r="C25" s="317"/>
      <c r="D25" s="151" t="s">
        <v>51</v>
      </c>
      <c r="E25" s="151" t="s">
        <v>103</v>
      </c>
      <c r="F25" s="151">
        <v>5</v>
      </c>
      <c r="G25" s="123" t="s">
        <v>35</v>
      </c>
      <c r="H25" s="151">
        <v>30</v>
      </c>
      <c r="I25" s="123">
        <v>15</v>
      </c>
      <c r="J25" s="151">
        <v>30</v>
      </c>
      <c r="K25" s="151"/>
      <c r="L25" s="151"/>
      <c r="M25" s="151">
        <v>15</v>
      </c>
      <c r="N25" s="151"/>
      <c r="O25" s="16" t="s">
        <v>510</v>
      </c>
      <c r="Q25" s="151"/>
      <c r="R25" s="151"/>
      <c r="S25" s="151"/>
      <c r="T25" s="151"/>
      <c r="U25" s="151"/>
      <c r="V25" s="151"/>
      <c r="W25" s="151"/>
      <c r="X25" s="156"/>
      <c r="Y25" s="152">
        <v>2.1</v>
      </c>
      <c r="Z25" s="4"/>
      <c r="AA25" s="16" t="s">
        <v>510</v>
      </c>
    </row>
    <row r="26" spans="1:27" s="16" customFormat="1" ht="22.5" customHeight="1" x14ac:dyDescent="0.2">
      <c r="A26" s="468"/>
      <c r="B26" s="471"/>
      <c r="C26" s="316"/>
      <c r="D26" s="151" t="s">
        <v>51</v>
      </c>
      <c r="E26" s="151" t="s">
        <v>104</v>
      </c>
      <c r="F26" s="151">
        <v>5</v>
      </c>
      <c r="G26" s="123" t="s">
        <v>32</v>
      </c>
      <c r="H26" s="151">
        <v>7</v>
      </c>
      <c r="I26" s="123">
        <v>15</v>
      </c>
      <c r="J26" s="151">
        <v>30</v>
      </c>
      <c r="K26" s="151"/>
      <c r="L26" s="151"/>
      <c r="M26" s="151">
        <v>15</v>
      </c>
      <c r="N26" s="151"/>
      <c r="O26" s="16" t="s">
        <v>507</v>
      </c>
      <c r="Q26" s="151"/>
      <c r="R26" s="151"/>
      <c r="S26" s="151"/>
      <c r="T26" s="151"/>
      <c r="U26" s="151"/>
      <c r="V26" s="151"/>
      <c r="W26" s="151"/>
      <c r="X26" s="156"/>
      <c r="Y26" s="152">
        <v>2.1</v>
      </c>
      <c r="Z26" s="4"/>
      <c r="AA26" s="16" t="s">
        <v>507</v>
      </c>
    </row>
    <row r="27" spans="1:27" s="16" customFormat="1" ht="22.5" customHeight="1" x14ac:dyDescent="0.2">
      <c r="A27" s="467">
        <v>7</v>
      </c>
      <c r="B27" s="476" t="s">
        <v>241</v>
      </c>
      <c r="C27" s="317"/>
      <c r="D27" s="151" t="s">
        <v>51</v>
      </c>
      <c r="E27" s="151" t="s">
        <v>103</v>
      </c>
      <c r="F27" s="151">
        <v>5</v>
      </c>
      <c r="G27" s="123" t="s">
        <v>35</v>
      </c>
      <c r="H27" s="151">
        <v>30</v>
      </c>
      <c r="I27" s="123">
        <v>15</v>
      </c>
      <c r="J27" s="151">
        <v>30</v>
      </c>
      <c r="K27" s="151"/>
      <c r="L27" s="151"/>
      <c r="M27" s="151">
        <v>15</v>
      </c>
      <c r="N27" s="151"/>
      <c r="O27" s="16" t="s">
        <v>503</v>
      </c>
      <c r="Q27" s="151"/>
      <c r="R27" s="151"/>
      <c r="S27" s="151"/>
      <c r="T27" s="151"/>
      <c r="U27" s="151"/>
      <c r="V27" s="151"/>
      <c r="W27" s="151"/>
      <c r="X27" s="156"/>
      <c r="Y27" s="152">
        <v>2.1</v>
      </c>
      <c r="Z27" s="4"/>
      <c r="AA27" s="16" t="s">
        <v>503</v>
      </c>
    </row>
    <row r="28" spans="1:27" s="16" customFormat="1" ht="22.5" customHeight="1" x14ac:dyDescent="0.2">
      <c r="A28" s="468"/>
      <c r="B28" s="471"/>
      <c r="C28" s="316"/>
      <c r="D28" s="151" t="s">
        <v>51</v>
      </c>
      <c r="E28" s="151" t="s">
        <v>104</v>
      </c>
      <c r="F28" s="151">
        <v>5</v>
      </c>
      <c r="G28" s="123" t="s">
        <v>32</v>
      </c>
      <c r="H28" s="151">
        <v>7</v>
      </c>
      <c r="I28" s="123">
        <v>15</v>
      </c>
      <c r="J28" s="151">
        <v>30</v>
      </c>
      <c r="K28" s="151"/>
      <c r="L28" s="151"/>
      <c r="M28" s="151">
        <v>15</v>
      </c>
      <c r="N28" s="151"/>
      <c r="O28" s="16" t="s">
        <v>507</v>
      </c>
      <c r="Q28" s="151"/>
      <c r="R28" s="151"/>
      <c r="S28" s="151"/>
      <c r="T28" s="151"/>
      <c r="U28" s="151"/>
      <c r="V28" s="151"/>
      <c r="W28" s="151"/>
      <c r="X28" s="156"/>
      <c r="Y28" s="152">
        <v>2.1</v>
      </c>
      <c r="Z28" s="4"/>
      <c r="AA28" s="16" t="s">
        <v>507</v>
      </c>
    </row>
    <row r="29" spans="1:27" s="16" customFormat="1" ht="22.5" customHeight="1" x14ac:dyDescent="0.2">
      <c r="A29" s="467">
        <v>8</v>
      </c>
      <c r="B29" s="476" t="s">
        <v>240</v>
      </c>
      <c r="C29" s="317"/>
      <c r="D29" s="151" t="s">
        <v>51</v>
      </c>
      <c r="E29" s="151" t="s">
        <v>103</v>
      </c>
      <c r="F29" s="151">
        <v>5</v>
      </c>
      <c r="G29" s="123" t="s">
        <v>35</v>
      </c>
      <c r="H29" s="151">
        <v>30</v>
      </c>
      <c r="I29" s="123">
        <v>15</v>
      </c>
      <c r="J29" s="151">
        <v>30</v>
      </c>
      <c r="K29" s="151"/>
      <c r="L29" s="151"/>
      <c r="M29" s="151">
        <v>15</v>
      </c>
      <c r="N29" s="151"/>
      <c r="O29" s="16" t="s">
        <v>505</v>
      </c>
      <c r="Q29" s="151"/>
      <c r="R29" s="151"/>
      <c r="S29" s="151"/>
      <c r="T29" s="151"/>
      <c r="U29" s="151"/>
      <c r="V29" s="151"/>
      <c r="W29" s="151"/>
      <c r="X29" s="156"/>
      <c r="Y29" s="152">
        <v>2.1</v>
      </c>
      <c r="Z29" s="4"/>
      <c r="AA29" s="16" t="s">
        <v>505</v>
      </c>
    </row>
    <row r="30" spans="1:27" s="16" customFormat="1" ht="22.5" customHeight="1" x14ac:dyDescent="0.2">
      <c r="A30" s="468"/>
      <c r="B30" s="471"/>
      <c r="C30" s="316"/>
      <c r="D30" s="151" t="s">
        <v>51</v>
      </c>
      <c r="E30" s="151" t="s">
        <v>104</v>
      </c>
      <c r="F30" s="151">
        <v>5</v>
      </c>
      <c r="G30" s="123" t="s">
        <v>32</v>
      </c>
      <c r="H30" s="151">
        <v>7</v>
      </c>
      <c r="I30" s="123">
        <v>15</v>
      </c>
      <c r="J30" s="151">
        <v>30</v>
      </c>
      <c r="K30" s="151"/>
      <c r="L30" s="151"/>
      <c r="M30" s="151">
        <v>15</v>
      </c>
      <c r="N30" s="151"/>
      <c r="O30" s="16" t="s">
        <v>504</v>
      </c>
      <c r="Q30" s="151"/>
      <c r="R30" s="151"/>
      <c r="S30" s="151"/>
      <c r="T30" s="151"/>
      <c r="U30" s="151"/>
      <c r="V30" s="151"/>
      <c r="W30" s="151"/>
      <c r="X30" s="156"/>
      <c r="Y30" s="152">
        <v>2.1</v>
      </c>
      <c r="Z30" s="4"/>
      <c r="AA30" s="16" t="s">
        <v>504</v>
      </c>
    </row>
    <row r="31" spans="1:27" s="16" customFormat="1" ht="22.5" customHeight="1" x14ac:dyDescent="0.2">
      <c r="A31" s="494">
        <v>9</v>
      </c>
      <c r="B31" s="472" t="s">
        <v>239</v>
      </c>
      <c r="C31" s="311"/>
      <c r="D31" s="151" t="s">
        <v>51</v>
      </c>
      <c r="E31" s="151" t="s">
        <v>103</v>
      </c>
      <c r="F31" s="151">
        <v>5</v>
      </c>
      <c r="G31" s="123" t="s">
        <v>35</v>
      </c>
      <c r="H31" s="151">
        <v>30</v>
      </c>
      <c r="I31" s="123">
        <v>15</v>
      </c>
      <c r="J31" s="151">
        <v>30</v>
      </c>
      <c r="K31" s="151"/>
      <c r="L31" s="151"/>
      <c r="M31" s="151">
        <v>15</v>
      </c>
      <c r="N31" s="151"/>
      <c r="O31" s="16" t="s">
        <v>506</v>
      </c>
      <c r="Q31" s="151"/>
      <c r="R31" s="151"/>
      <c r="S31" s="151"/>
      <c r="T31" s="151"/>
      <c r="U31" s="151"/>
      <c r="V31" s="151"/>
      <c r="W31" s="151"/>
      <c r="X31" s="156"/>
      <c r="Y31" s="152">
        <v>2.1</v>
      </c>
      <c r="Z31" s="4"/>
      <c r="AA31" s="16" t="s">
        <v>506</v>
      </c>
    </row>
    <row r="32" spans="1:27" s="16" customFormat="1" ht="22.5" customHeight="1" x14ac:dyDescent="0.2">
      <c r="A32" s="494"/>
      <c r="B32" s="472"/>
      <c r="C32" s="311"/>
      <c r="D32" s="151" t="s">
        <v>51</v>
      </c>
      <c r="E32" s="151" t="s">
        <v>104</v>
      </c>
      <c r="F32" s="151">
        <v>5</v>
      </c>
      <c r="G32" s="123" t="s">
        <v>32</v>
      </c>
      <c r="H32" s="151">
        <v>7</v>
      </c>
      <c r="I32" s="123">
        <v>15</v>
      </c>
      <c r="J32" s="151">
        <v>30</v>
      </c>
      <c r="K32" s="151"/>
      <c r="L32" s="151"/>
      <c r="M32" s="151">
        <v>15</v>
      </c>
      <c r="N32" s="151"/>
      <c r="O32" s="16" t="s">
        <v>509</v>
      </c>
      <c r="Q32" s="151"/>
      <c r="R32" s="151"/>
      <c r="S32" s="151"/>
      <c r="T32" s="151"/>
      <c r="U32" s="151"/>
      <c r="V32" s="151"/>
      <c r="W32" s="151"/>
      <c r="X32" s="156"/>
      <c r="Y32" s="152">
        <v>2.1</v>
      </c>
      <c r="Z32" s="4"/>
      <c r="AA32" s="16" t="s">
        <v>509</v>
      </c>
    </row>
    <row r="33" spans="1:27" s="16" customFormat="1" ht="22.5" customHeight="1" x14ac:dyDescent="0.2">
      <c r="A33" s="494">
        <v>10</v>
      </c>
      <c r="B33" s="472" t="s">
        <v>238</v>
      </c>
      <c r="C33" s="311"/>
      <c r="D33" s="151" t="s">
        <v>51</v>
      </c>
      <c r="E33" s="151" t="s">
        <v>103</v>
      </c>
      <c r="F33" s="151">
        <v>5</v>
      </c>
      <c r="G33" s="123" t="s">
        <v>35</v>
      </c>
      <c r="H33" s="151">
        <v>30</v>
      </c>
      <c r="I33" s="123">
        <v>15</v>
      </c>
      <c r="J33" s="151">
        <v>30</v>
      </c>
      <c r="K33" s="151"/>
      <c r="L33" s="151"/>
      <c r="M33" s="151">
        <v>15</v>
      </c>
      <c r="N33" s="151"/>
      <c r="O33" s="16" t="s">
        <v>506</v>
      </c>
      <c r="Q33" s="151"/>
      <c r="R33" s="151"/>
      <c r="S33" s="151"/>
      <c r="T33" s="151"/>
      <c r="U33" s="151"/>
      <c r="V33" s="151"/>
      <c r="W33" s="151"/>
      <c r="X33" s="156"/>
      <c r="Y33" s="152">
        <v>2.1</v>
      </c>
      <c r="Z33" s="4"/>
      <c r="AA33" s="16" t="s">
        <v>506</v>
      </c>
    </row>
    <row r="34" spans="1:27" s="16" customFormat="1" ht="23.25" customHeight="1" x14ac:dyDescent="0.2">
      <c r="A34" s="494"/>
      <c r="B34" s="472"/>
      <c r="C34" s="311"/>
      <c r="D34" s="151" t="s">
        <v>51</v>
      </c>
      <c r="E34" s="151" t="s">
        <v>104</v>
      </c>
      <c r="F34" s="151">
        <v>5</v>
      </c>
      <c r="G34" s="123" t="s">
        <v>32</v>
      </c>
      <c r="H34" s="151">
        <v>7</v>
      </c>
      <c r="I34" s="123">
        <v>15</v>
      </c>
      <c r="J34" s="151">
        <v>30</v>
      </c>
      <c r="K34" s="151"/>
      <c r="L34" s="151"/>
      <c r="M34" s="151">
        <v>15</v>
      </c>
      <c r="N34" s="151"/>
      <c r="O34" s="16" t="s">
        <v>520</v>
      </c>
      <c r="Q34" s="151"/>
      <c r="R34" s="151"/>
      <c r="S34" s="151"/>
      <c r="T34" s="151"/>
      <c r="U34" s="151"/>
      <c r="V34" s="151"/>
      <c r="W34" s="151"/>
      <c r="X34" s="156"/>
      <c r="Y34" s="152">
        <v>2.1</v>
      </c>
      <c r="Z34" s="4"/>
      <c r="AA34" s="16" t="s">
        <v>520</v>
      </c>
    </row>
    <row r="35" spans="1:27" s="16" customFormat="1" ht="23.25" customHeight="1" x14ac:dyDescent="0.2">
      <c r="A35" s="494">
        <v>11</v>
      </c>
      <c r="B35" s="472" t="s">
        <v>243</v>
      </c>
      <c r="C35" s="311"/>
      <c r="D35" s="151" t="s">
        <v>51</v>
      </c>
      <c r="E35" s="151" t="s">
        <v>103</v>
      </c>
      <c r="F35" s="151">
        <v>5</v>
      </c>
      <c r="G35" s="123" t="s">
        <v>35</v>
      </c>
      <c r="H35" s="151">
        <v>30</v>
      </c>
      <c r="I35" s="123">
        <v>15</v>
      </c>
      <c r="J35" s="151">
        <v>30</v>
      </c>
      <c r="K35" s="151"/>
      <c r="L35" s="151"/>
      <c r="M35" s="151">
        <v>15</v>
      </c>
      <c r="N35" s="151" t="s">
        <v>65</v>
      </c>
      <c r="O35" s="16" t="s">
        <v>503</v>
      </c>
      <c r="Q35" s="151"/>
      <c r="R35" s="151"/>
      <c r="S35" s="151"/>
      <c r="T35" s="151"/>
      <c r="U35" s="151"/>
      <c r="V35" s="151"/>
      <c r="W35" s="151"/>
      <c r="X35" s="156"/>
      <c r="Y35" s="152">
        <v>2.1</v>
      </c>
      <c r="Z35" s="4"/>
      <c r="AA35" s="16" t="s">
        <v>503</v>
      </c>
    </row>
    <row r="36" spans="1:27" s="16" customFormat="1" ht="23.25" customHeight="1" x14ac:dyDescent="0.2">
      <c r="A36" s="494"/>
      <c r="B36" s="472"/>
      <c r="C36" s="311"/>
      <c r="D36" s="151" t="s">
        <v>51</v>
      </c>
      <c r="E36" s="151" t="s">
        <v>104</v>
      </c>
      <c r="F36" s="151">
        <v>5</v>
      </c>
      <c r="G36" s="123" t="s">
        <v>32</v>
      </c>
      <c r="H36" s="151">
        <v>7</v>
      </c>
      <c r="I36" s="123">
        <v>15</v>
      </c>
      <c r="J36" s="151">
        <v>30</v>
      </c>
      <c r="K36" s="151"/>
      <c r="L36" s="151"/>
      <c r="M36" s="151">
        <v>15</v>
      </c>
      <c r="N36" s="151" t="s">
        <v>65</v>
      </c>
      <c r="O36" s="16" t="s">
        <v>500</v>
      </c>
      <c r="Q36" s="151"/>
      <c r="R36" s="151"/>
      <c r="S36" s="151"/>
      <c r="T36" s="151"/>
      <c r="U36" s="151"/>
      <c r="V36" s="151"/>
      <c r="W36" s="151"/>
      <c r="X36" s="156"/>
      <c r="Y36" s="152">
        <v>2.1</v>
      </c>
      <c r="Z36" s="4"/>
      <c r="AA36" s="16" t="s">
        <v>500</v>
      </c>
    </row>
    <row r="37" spans="1:27" s="4" customFormat="1" ht="23.25" customHeight="1" x14ac:dyDescent="0.2">
      <c r="A37" s="491">
        <v>16</v>
      </c>
      <c r="B37" s="473" t="s">
        <v>349</v>
      </c>
      <c r="C37" s="402" t="s">
        <v>664</v>
      </c>
      <c r="D37" s="145" t="s">
        <v>52</v>
      </c>
      <c r="E37" s="142" t="s">
        <v>335</v>
      </c>
      <c r="F37" s="143">
        <v>3</v>
      </c>
      <c r="G37" s="142" t="s">
        <v>35</v>
      </c>
      <c r="H37" s="142">
        <v>10</v>
      </c>
      <c r="I37" s="142"/>
      <c r="J37" s="143">
        <v>30</v>
      </c>
      <c r="K37" s="143"/>
      <c r="L37" s="143"/>
      <c r="M37" s="143">
        <v>7</v>
      </c>
      <c r="N37" s="143"/>
      <c r="O37" s="4" t="s">
        <v>496</v>
      </c>
      <c r="Q37" s="143"/>
      <c r="R37" s="143"/>
      <c r="S37" s="143"/>
      <c r="T37" s="143"/>
      <c r="U37" s="143"/>
      <c r="V37" s="143"/>
      <c r="W37" s="143"/>
      <c r="X37" s="146"/>
      <c r="Y37" s="147">
        <v>1.2</v>
      </c>
      <c r="AA37" s="4" t="s">
        <v>496</v>
      </c>
    </row>
    <row r="38" spans="1:27" s="4" customFormat="1" ht="23.25" customHeight="1" x14ac:dyDescent="0.3">
      <c r="A38" s="495"/>
      <c r="B38" s="474"/>
      <c r="C38" s="403"/>
      <c r="D38" s="145" t="s">
        <v>52</v>
      </c>
      <c r="E38" s="142" t="s">
        <v>341</v>
      </c>
      <c r="F38" s="143">
        <v>3</v>
      </c>
      <c r="G38" s="142" t="s">
        <v>35</v>
      </c>
      <c r="H38" s="142">
        <v>15</v>
      </c>
      <c r="I38" s="142"/>
      <c r="J38" s="143">
        <v>30</v>
      </c>
      <c r="K38" s="143"/>
      <c r="L38" s="143"/>
      <c r="M38" s="143"/>
      <c r="N38" s="148"/>
      <c r="O38" s="4" t="s">
        <v>524</v>
      </c>
      <c r="Q38" s="148"/>
      <c r="R38" s="148"/>
      <c r="S38" s="148"/>
      <c r="T38" s="149"/>
      <c r="U38" s="143"/>
      <c r="V38" s="143"/>
      <c r="W38" s="143"/>
      <c r="X38" s="143"/>
      <c r="Y38" s="141">
        <v>1</v>
      </c>
      <c r="AA38" s="4" t="s">
        <v>524</v>
      </c>
    </row>
    <row r="39" spans="1:27" s="4" customFormat="1" ht="23.25" customHeight="1" x14ac:dyDescent="0.3">
      <c r="A39" s="495"/>
      <c r="B39" s="474"/>
      <c r="C39" s="403"/>
      <c r="D39" s="145" t="s">
        <v>52</v>
      </c>
      <c r="E39" s="142" t="s">
        <v>334</v>
      </c>
      <c r="F39" s="143">
        <v>3</v>
      </c>
      <c r="G39" s="142" t="s">
        <v>35</v>
      </c>
      <c r="H39" s="142">
        <v>12</v>
      </c>
      <c r="I39" s="142"/>
      <c r="J39" s="143">
        <v>30</v>
      </c>
      <c r="K39" s="143"/>
      <c r="L39" s="143"/>
      <c r="M39" s="143"/>
      <c r="N39" s="148"/>
      <c r="O39" s="4" t="s">
        <v>496</v>
      </c>
      <c r="Q39" s="148"/>
      <c r="R39" s="148"/>
      <c r="S39" s="148"/>
      <c r="T39" s="149"/>
      <c r="U39" s="143"/>
      <c r="V39" s="143"/>
      <c r="W39" s="143"/>
      <c r="X39" s="143"/>
      <c r="Y39" s="141">
        <v>1.1000000000000001</v>
      </c>
      <c r="AA39" s="4" t="s">
        <v>496</v>
      </c>
    </row>
    <row r="40" spans="1:27" s="4" customFormat="1" ht="23.25" customHeight="1" x14ac:dyDescent="0.3">
      <c r="A40" s="495"/>
      <c r="B40" s="474"/>
      <c r="C40" s="403"/>
      <c r="D40" s="145" t="s">
        <v>52</v>
      </c>
      <c r="E40" s="142" t="s">
        <v>340</v>
      </c>
      <c r="F40" s="143">
        <v>3</v>
      </c>
      <c r="G40" s="142" t="s">
        <v>35</v>
      </c>
      <c r="H40" s="142">
        <v>13</v>
      </c>
      <c r="I40" s="142"/>
      <c r="J40" s="143">
        <v>30</v>
      </c>
      <c r="K40" s="143"/>
      <c r="L40" s="143"/>
      <c r="M40" s="143"/>
      <c r="N40" s="148"/>
      <c r="O40" s="4" t="s">
        <v>524</v>
      </c>
      <c r="Q40" s="148"/>
      <c r="R40" s="148"/>
      <c r="S40" s="148"/>
      <c r="T40" s="149"/>
      <c r="U40" s="143"/>
      <c r="V40" s="143"/>
      <c r="W40" s="143"/>
      <c r="X40" s="143"/>
      <c r="Y40" s="141">
        <v>1</v>
      </c>
      <c r="AA40" s="4" t="s">
        <v>524</v>
      </c>
    </row>
    <row r="41" spans="1:27" s="4" customFormat="1" ht="23.25" customHeight="1" x14ac:dyDescent="0.3">
      <c r="A41" s="495"/>
      <c r="B41" s="474"/>
      <c r="C41" s="403"/>
      <c r="D41" s="145" t="s">
        <v>52</v>
      </c>
      <c r="E41" s="142" t="s">
        <v>333</v>
      </c>
      <c r="F41" s="143">
        <v>3</v>
      </c>
      <c r="G41" s="142" t="s">
        <v>35</v>
      </c>
      <c r="H41" s="142">
        <v>14</v>
      </c>
      <c r="I41" s="142"/>
      <c r="J41" s="143">
        <v>30</v>
      </c>
      <c r="K41" s="143"/>
      <c r="L41" s="143"/>
      <c r="M41" s="143"/>
      <c r="N41" s="148"/>
      <c r="O41" s="4" t="s">
        <v>524</v>
      </c>
      <c r="Q41" s="148"/>
      <c r="R41" s="148"/>
      <c r="S41" s="148"/>
      <c r="T41" s="149"/>
      <c r="U41" s="143"/>
      <c r="V41" s="143"/>
      <c r="W41" s="143"/>
      <c r="X41" s="143"/>
      <c r="Y41" s="141">
        <v>1.1000000000000001</v>
      </c>
      <c r="AA41" s="4" t="s">
        <v>524</v>
      </c>
    </row>
    <row r="42" spans="1:27" s="4" customFormat="1" ht="23.25" customHeight="1" x14ac:dyDescent="0.3">
      <c r="A42" s="495"/>
      <c r="B42" s="474"/>
      <c r="C42" s="403"/>
      <c r="D42" s="93" t="s">
        <v>52</v>
      </c>
      <c r="E42" s="142" t="s">
        <v>339</v>
      </c>
      <c r="F42" s="143">
        <v>3</v>
      </c>
      <c r="G42" s="142" t="s">
        <v>35</v>
      </c>
      <c r="H42" s="142">
        <v>15</v>
      </c>
      <c r="I42" s="142"/>
      <c r="J42" s="143">
        <v>30</v>
      </c>
      <c r="K42" s="143"/>
      <c r="L42" s="143"/>
      <c r="M42" s="143"/>
      <c r="N42" s="148"/>
      <c r="O42" s="4" t="s">
        <v>496</v>
      </c>
      <c r="Q42" s="148"/>
      <c r="R42" s="148"/>
      <c r="S42" s="148"/>
      <c r="T42" s="149"/>
      <c r="U42" s="143"/>
      <c r="V42" s="143"/>
      <c r="W42" s="143"/>
      <c r="X42" s="143"/>
      <c r="Y42" s="141">
        <v>1</v>
      </c>
      <c r="AA42" s="4" t="s">
        <v>496</v>
      </c>
    </row>
    <row r="43" spans="1:27" s="4" customFormat="1" ht="23.25" customHeight="1" x14ac:dyDescent="0.3">
      <c r="A43" s="495"/>
      <c r="B43" s="474"/>
      <c r="C43" s="403"/>
      <c r="D43" s="93" t="s">
        <v>52</v>
      </c>
      <c r="E43" s="137" t="s">
        <v>332</v>
      </c>
      <c r="F43" s="135">
        <v>3</v>
      </c>
      <c r="G43" s="137" t="s">
        <v>35</v>
      </c>
      <c r="H43" s="137">
        <v>14</v>
      </c>
      <c r="I43" s="137"/>
      <c r="J43" s="135">
        <v>30</v>
      </c>
      <c r="K43" s="135"/>
      <c r="L43" s="135"/>
      <c r="M43" s="135"/>
      <c r="N43" s="34"/>
      <c r="O43" s="4" t="s">
        <v>496</v>
      </c>
      <c r="Q43" s="34"/>
      <c r="R43" s="34"/>
      <c r="S43" s="34"/>
      <c r="T43" s="35"/>
      <c r="U43" s="135"/>
      <c r="V43" s="135"/>
      <c r="W43" s="135"/>
      <c r="X43" s="135"/>
      <c r="Y43" s="36">
        <v>1.1000000000000001</v>
      </c>
      <c r="AA43" s="4" t="s">
        <v>496</v>
      </c>
    </row>
    <row r="44" spans="1:27" s="4" customFormat="1" ht="23.25" customHeight="1" x14ac:dyDescent="0.3">
      <c r="A44" s="495"/>
      <c r="B44" s="474"/>
      <c r="C44" s="403"/>
      <c r="D44" s="145" t="s">
        <v>52</v>
      </c>
      <c r="E44" s="142" t="s">
        <v>338</v>
      </c>
      <c r="F44" s="143">
        <v>3</v>
      </c>
      <c r="G44" s="142" t="s">
        <v>35</v>
      </c>
      <c r="H44" s="142">
        <v>15</v>
      </c>
      <c r="I44" s="142"/>
      <c r="J44" s="143">
        <v>30</v>
      </c>
      <c r="K44" s="143"/>
      <c r="L44" s="143"/>
      <c r="M44" s="143"/>
      <c r="N44" s="148"/>
      <c r="O44" s="4" t="s">
        <v>496</v>
      </c>
      <c r="Q44" s="148"/>
      <c r="R44" s="148"/>
      <c r="S44" s="148"/>
      <c r="T44" s="149"/>
      <c r="U44" s="143"/>
      <c r="V44" s="143"/>
      <c r="W44" s="143"/>
      <c r="X44" s="143"/>
      <c r="Y44" s="141">
        <v>1</v>
      </c>
      <c r="AA44" s="4" t="s">
        <v>496</v>
      </c>
    </row>
    <row r="45" spans="1:27" s="4" customFormat="1" ht="23.25" customHeight="1" x14ac:dyDescent="0.2">
      <c r="A45" s="495"/>
      <c r="B45" s="474"/>
      <c r="C45" s="403"/>
      <c r="D45" s="145" t="s">
        <v>52</v>
      </c>
      <c r="E45" s="142" t="s">
        <v>331</v>
      </c>
      <c r="F45" s="143">
        <v>3</v>
      </c>
      <c r="G45" s="142" t="s">
        <v>35</v>
      </c>
      <c r="H45" s="142">
        <v>15</v>
      </c>
      <c r="I45" s="142"/>
      <c r="J45" s="143">
        <v>30</v>
      </c>
      <c r="K45" s="143"/>
      <c r="L45" s="143"/>
      <c r="M45" s="143">
        <v>7</v>
      </c>
      <c r="N45" s="143"/>
      <c r="O45" s="4" t="s">
        <v>524</v>
      </c>
      <c r="Q45" s="143"/>
      <c r="R45" s="143"/>
      <c r="S45" s="143"/>
      <c r="T45" s="143"/>
      <c r="U45" s="143"/>
      <c r="V45" s="143"/>
      <c r="W45" s="143"/>
      <c r="X45" s="146"/>
      <c r="Y45" s="147">
        <v>1.2</v>
      </c>
      <c r="AA45" s="4" t="s">
        <v>524</v>
      </c>
    </row>
    <row r="46" spans="1:27" s="4" customFormat="1" ht="23.25" customHeight="1" x14ac:dyDescent="0.3">
      <c r="A46" s="495"/>
      <c r="B46" s="474"/>
      <c r="C46" s="403"/>
      <c r="D46" s="93" t="s">
        <v>52</v>
      </c>
      <c r="E46" s="142" t="s">
        <v>337</v>
      </c>
      <c r="F46" s="143">
        <v>3</v>
      </c>
      <c r="G46" s="142" t="s">
        <v>35</v>
      </c>
      <c r="H46" s="142">
        <v>15</v>
      </c>
      <c r="I46" s="142"/>
      <c r="J46" s="143">
        <v>30</v>
      </c>
      <c r="K46" s="143"/>
      <c r="L46" s="143"/>
      <c r="M46" s="143"/>
      <c r="N46" s="148"/>
      <c r="O46" s="4" t="s">
        <v>496</v>
      </c>
      <c r="Q46" s="148"/>
      <c r="R46" s="148"/>
      <c r="S46" s="148"/>
      <c r="T46" s="149"/>
      <c r="U46" s="143"/>
      <c r="V46" s="143"/>
      <c r="W46" s="143"/>
      <c r="X46" s="143"/>
      <c r="Y46" s="141">
        <v>1</v>
      </c>
      <c r="AA46" s="4" t="s">
        <v>496</v>
      </c>
    </row>
    <row r="47" spans="1:27" s="4" customFormat="1" ht="23.25" customHeight="1" x14ac:dyDescent="0.3">
      <c r="A47" s="495"/>
      <c r="B47" s="474"/>
      <c r="C47" s="403"/>
      <c r="D47" s="145" t="s">
        <v>52</v>
      </c>
      <c r="E47" s="142" t="s">
        <v>330</v>
      </c>
      <c r="F47" s="143">
        <v>3</v>
      </c>
      <c r="G47" s="142" t="s">
        <v>35</v>
      </c>
      <c r="H47" s="142">
        <v>15</v>
      </c>
      <c r="I47" s="142"/>
      <c r="J47" s="143">
        <v>30</v>
      </c>
      <c r="K47" s="143"/>
      <c r="L47" s="143"/>
      <c r="M47" s="143"/>
      <c r="N47" s="148"/>
      <c r="O47" s="4" t="s">
        <v>523</v>
      </c>
      <c r="Q47" s="148"/>
      <c r="R47" s="148"/>
      <c r="S47" s="148"/>
      <c r="T47" s="149"/>
      <c r="U47" s="143"/>
      <c r="V47" s="143"/>
      <c r="W47" s="143"/>
      <c r="X47" s="143"/>
      <c r="Y47" s="141">
        <v>1.1000000000000001</v>
      </c>
      <c r="AA47" s="4" t="s">
        <v>523</v>
      </c>
    </row>
    <row r="48" spans="1:27" s="4" customFormat="1" ht="23.25" customHeight="1" x14ac:dyDescent="0.3">
      <c r="A48" s="495"/>
      <c r="B48" s="474"/>
      <c r="C48" s="403"/>
      <c r="D48" s="93" t="s">
        <v>52</v>
      </c>
      <c r="E48" s="137" t="s">
        <v>336</v>
      </c>
      <c r="F48" s="135">
        <v>3</v>
      </c>
      <c r="G48" s="137" t="s">
        <v>35</v>
      </c>
      <c r="H48" s="137">
        <v>15</v>
      </c>
      <c r="I48" s="137"/>
      <c r="J48" s="135">
        <v>30</v>
      </c>
      <c r="K48" s="135"/>
      <c r="L48" s="135"/>
      <c r="M48" s="135"/>
      <c r="N48" s="34"/>
      <c r="O48" s="4" t="s">
        <v>496</v>
      </c>
      <c r="Q48" s="34"/>
      <c r="R48" s="34"/>
      <c r="S48" s="34"/>
      <c r="T48" s="35"/>
      <c r="U48" s="135"/>
      <c r="V48" s="135"/>
      <c r="W48" s="135"/>
      <c r="X48" s="135"/>
      <c r="Y48" s="36">
        <v>1</v>
      </c>
      <c r="AA48" s="4" t="s">
        <v>496</v>
      </c>
    </row>
    <row r="49" spans="1:27" s="4" customFormat="1" ht="23.25" customHeight="1" x14ac:dyDescent="0.2">
      <c r="A49" s="495"/>
      <c r="B49" s="474"/>
      <c r="C49" s="403"/>
      <c r="D49" s="145" t="s">
        <v>52</v>
      </c>
      <c r="E49" s="142" t="s">
        <v>328</v>
      </c>
      <c r="F49" s="143">
        <v>3</v>
      </c>
      <c r="G49" s="143" t="s">
        <v>32</v>
      </c>
      <c r="H49" s="142">
        <v>7</v>
      </c>
      <c r="I49" s="142"/>
      <c r="J49" s="143">
        <v>30</v>
      </c>
      <c r="K49" s="143"/>
      <c r="L49" s="143"/>
      <c r="M49" s="143">
        <v>7</v>
      </c>
      <c r="N49" s="143"/>
      <c r="O49" s="4" t="s">
        <v>525</v>
      </c>
      <c r="Q49" s="143"/>
      <c r="R49" s="143"/>
      <c r="S49" s="143"/>
      <c r="T49" s="143"/>
      <c r="U49" s="143"/>
      <c r="V49" s="143"/>
      <c r="W49" s="143"/>
      <c r="X49" s="146"/>
      <c r="Y49" s="147">
        <v>1.2</v>
      </c>
      <c r="AA49" s="4" t="s">
        <v>525</v>
      </c>
    </row>
    <row r="50" spans="1:27" s="4" customFormat="1" ht="23.25" customHeight="1" x14ac:dyDescent="0.3">
      <c r="A50" s="495"/>
      <c r="B50" s="474"/>
      <c r="C50" s="403"/>
      <c r="D50" s="145" t="s">
        <v>52</v>
      </c>
      <c r="E50" s="142" t="s">
        <v>329</v>
      </c>
      <c r="F50" s="143">
        <v>3</v>
      </c>
      <c r="G50" s="143" t="s">
        <v>32</v>
      </c>
      <c r="H50" s="142">
        <v>14</v>
      </c>
      <c r="I50" s="142"/>
      <c r="J50" s="143">
        <v>30</v>
      </c>
      <c r="K50" s="143"/>
      <c r="L50" s="143"/>
      <c r="M50" s="143"/>
      <c r="N50" s="148"/>
      <c r="O50" s="4" t="s">
        <v>513</v>
      </c>
      <c r="Q50" s="148"/>
      <c r="R50" s="148"/>
      <c r="S50" s="148"/>
      <c r="T50" s="149"/>
      <c r="U50" s="143"/>
      <c r="V50" s="143"/>
      <c r="W50" s="143"/>
      <c r="X50" s="143"/>
      <c r="Y50" s="141">
        <v>1</v>
      </c>
      <c r="AA50" s="4" t="s">
        <v>513</v>
      </c>
    </row>
    <row r="51" spans="1:27" s="4" customFormat="1" ht="23.25" customHeight="1" x14ac:dyDescent="0.3">
      <c r="A51" s="495"/>
      <c r="B51" s="474"/>
      <c r="C51" s="403"/>
      <c r="D51" s="145" t="s">
        <v>52</v>
      </c>
      <c r="E51" s="142" t="s">
        <v>326</v>
      </c>
      <c r="F51" s="143">
        <v>3</v>
      </c>
      <c r="G51" s="143" t="s">
        <v>32</v>
      </c>
      <c r="H51" s="142">
        <v>14</v>
      </c>
      <c r="I51" s="142"/>
      <c r="J51" s="143">
        <v>30</v>
      </c>
      <c r="K51" s="143"/>
      <c r="L51" s="143"/>
      <c r="M51" s="143"/>
      <c r="N51" s="148"/>
      <c r="O51" s="4" t="s">
        <v>512</v>
      </c>
      <c r="Q51" s="148"/>
      <c r="R51" s="148"/>
      <c r="S51" s="148"/>
      <c r="T51" s="149"/>
      <c r="U51" s="143"/>
      <c r="V51" s="143"/>
      <c r="W51" s="143"/>
      <c r="X51" s="143"/>
      <c r="Y51" s="141">
        <v>1.1000000000000001</v>
      </c>
      <c r="AA51" s="4" t="s">
        <v>512</v>
      </c>
    </row>
    <row r="52" spans="1:27" s="4" customFormat="1" ht="23.25" customHeight="1" x14ac:dyDescent="0.3">
      <c r="A52" s="495"/>
      <c r="B52" s="474"/>
      <c r="C52" s="493"/>
      <c r="D52" s="145" t="s">
        <v>52</v>
      </c>
      <c r="E52" s="142" t="s">
        <v>327</v>
      </c>
      <c r="F52" s="143">
        <v>3</v>
      </c>
      <c r="G52" s="143" t="s">
        <v>32</v>
      </c>
      <c r="H52" s="142">
        <v>13</v>
      </c>
      <c r="I52" s="142"/>
      <c r="J52" s="143">
        <v>30</v>
      </c>
      <c r="K52" s="143"/>
      <c r="L52" s="143"/>
      <c r="M52" s="143"/>
      <c r="N52" s="148"/>
      <c r="O52" s="4" t="s">
        <v>519</v>
      </c>
      <c r="Q52" s="148"/>
      <c r="R52" s="148"/>
      <c r="S52" s="148"/>
      <c r="T52" s="149"/>
      <c r="U52" s="143"/>
      <c r="V52" s="143"/>
      <c r="W52" s="143"/>
      <c r="X52" s="143"/>
      <c r="Y52" s="141">
        <v>1</v>
      </c>
      <c r="AA52" s="4" t="s">
        <v>519</v>
      </c>
    </row>
    <row r="53" spans="1:27" s="4" customFormat="1" ht="19.5" customHeight="1" x14ac:dyDescent="0.2">
      <c r="A53" s="491">
        <v>17</v>
      </c>
      <c r="B53" s="473" t="s">
        <v>350</v>
      </c>
      <c r="C53" s="402" t="s">
        <v>665</v>
      </c>
      <c r="D53" s="145" t="s">
        <v>52</v>
      </c>
      <c r="E53" s="142" t="s">
        <v>300</v>
      </c>
      <c r="F53" s="143">
        <v>4</v>
      </c>
      <c r="G53" s="142" t="s">
        <v>35</v>
      </c>
      <c r="H53" s="142">
        <v>25</v>
      </c>
      <c r="I53" s="142">
        <v>15</v>
      </c>
      <c r="J53" s="143">
        <v>30</v>
      </c>
      <c r="K53" s="143"/>
      <c r="L53" s="143"/>
      <c r="M53" s="143">
        <v>8</v>
      </c>
      <c r="N53" s="143"/>
      <c r="O53" s="4" t="s">
        <v>524</v>
      </c>
      <c r="Q53" s="143"/>
      <c r="R53" s="143"/>
      <c r="S53" s="143"/>
      <c r="T53" s="143"/>
      <c r="U53" s="143"/>
      <c r="V53" s="143"/>
      <c r="W53" s="143"/>
      <c r="X53" s="143"/>
      <c r="Y53" s="147">
        <v>1.9</v>
      </c>
      <c r="AA53" s="4" t="s">
        <v>524</v>
      </c>
    </row>
    <row r="54" spans="1:27" s="4" customFormat="1" ht="19.5" customHeight="1" x14ac:dyDescent="0.3">
      <c r="A54" s="495"/>
      <c r="B54" s="474"/>
      <c r="C54" s="403"/>
      <c r="D54" s="93" t="s">
        <v>52</v>
      </c>
      <c r="E54" s="137" t="s">
        <v>319</v>
      </c>
      <c r="F54" s="135">
        <v>4</v>
      </c>
      <c r="G54" s="137" t="s">
        <v>35</v>
      </c>
      <c r="H54" s="137">
        <v>25</v>
      </c>
      <c r="I54" s="135"/>
      <c r="J54" s="135">
        <v>30</v>
      </c>
      <c r="K54" s="135"/>
      <c r="L54" s="135"/>
      <c r="M54" s="135"/>
      <c r="N54" s="34"/>
      <c r="O54" s="4" t="s">
        <v>524</v>
      </c>
      <c r="Q54" s="34"/>
      <c r="R54" s="34"/>
      <c r="S54" s="34"/>
      <c r="T54" s="35"/>
      <c r="U54" s="135"/>
      <c r="V54" s="135"/>
      <c r="W54" s="135"/>
      <c r="X54" s="135"/>
      <c r="Y54" s="36">
        <v>1.1000000000000001</v>
      </c>
      <c r="AA54" s="4" t="s">
        <v>524</v>
      </c>
    </row>
    <row r="55" spans="1:27" s="4" customFormat="1" ht="19.5" customHeight="1" x14ac:dyDescent="0.3">
      <c r="A55" s="495"/>
      <c r="B55" s="474"/>
      <c r="C55" s="403"/>
      <c r="D55" s="145" t="s">
        <v>52</v>
      </c>
      <c r="E55" s="142" t="s">
        <v>302</v>
      </c>
      <c r="F55" s="143">
        <v>4</v>
      </c>
      <c r="G55" s="142" t="s">
        <v>35</v>
      </c>
      <c r="H55" s="142">
        <v>29</v>
      </c>
      <c r="I55" s="143"/>
      <c r="J55" s="143">
        <v>30</v>
      </c>
      <c r="K55" s="143"/>
      <c r="L55" s="143"/>
      <c r="M55" s="143"/>
      <c r="N55" s="148"/>
      <c r="O55" s="4" t="s">
        <v>524</v>
      </c>
      <c r="Q55" s="148"/>
      <c r="R55" s="148"/>
      <c r="S55" s="148"/>
      <c r="T55" s="149"/>
      <c r="U55" s="143"/>
      <c r="V55" s="143"/>
      <c r="W55" s="143"/>
      <c r="X55" s="143"/>
      <c r="Y55" s="141">
        <v>1.1000000000000001</v>
      </c>
      <c r="AA55" s="4" t="s">
        <v>524</v>
      </c>
    </row>
    <row r="56" spans="1:27" s="4" customFormat="1" ht="19.5" customHeight="1" x14ac:dyDescent="0.3">
      <c r="A56" s="495"/>
      <c r="B56" s="474"/>
      <c r="C56" s="403"/>
      <c r="D56" s="93" t="s">
        <v>52</v>
      </c>
      <c r="E56" s="137" t="s">
        <v>320</v>
      </c>
      <c r="F56" s="135">
        <v>4</v>
      </c>
      <c r="G56" s="137" t="s">
        <v>35</v>
      </c>
      <c r="H56" s="137">
        <v>29</v>
      </c>
      <c r="I56" s="135"/>
      <c r="J56" s="135">
        <v>30</v>
      </c>
      <c r="K56" s="135"/>
      <c r="L56" s="135"/>
      <c r="M56" s="135"/>
      <c r="N56" s="34"/>
      <c r="O56" s="4" t="s">
        <v>524</v>
      </c>
      <c r="Q56" s="34"/>
      <c r="R56" s="34"/>
      <c r="S56" s="34"/>
      <c r="T56" s="35"/>
      <c r="U56" s="135"/>
      <c r="V56" s="135"/>
      <c r="W56" s="135"/>
      <c r="X56" s="135"/>
      <c r="Y56" s="36">
        <v>1.1000000000000001</v>
      </c>
      <c r="AA56" s="4" t="s">
        <v>524</v>
      </c>
    </row>
    <row r="57" spans="1:27" s="4" customFormat="1" ht="19.5" customHeight="1" x14ac:dyDescent="0.2">
      <c r="A57" s="495"/>
      <c r="B57" s="474"/>
      <c r="C57" s="403"/>
      <c r="D57" s="145" t="s">
        <v>52</v>
      </c>
      <c r="E57" s="142" t="s">
        <v>303</v>
      </c>
      <c r="F57" s="143">
        <v>4</v>
      </c>
      <c r="G57" s="142" t="s">
        <v>35</v>
      </c>
      <c r="H57" s="142">
        <v>30</v>
      </c>
      <c r="I57" s="142">
        <v>15</v>
      </c>
      <c r="J57" s="143">
        <v>30</v>
      </c>
      <c r="K57" s="143"/>
      <c r="L57" s="143"/>
      <c r="M57" s="143">
        <v>8</v>
      </c>
      <c r="N57" s="143"/>
      <c r="O57" s="4" t="s">
        <v>524</v>
      </c>
      <c r="Q57" s="143"/>
      <c r="R57" s="143"/>
      <c r="S57" s="143"/>
      <c r="T57" s="143"/>
      <c r="U57" s="143"/>
      <c r="V57" s="143"/>
      <c r="W57" s="143"/>
      <c r="X57" s="143"/>
      <c r="Y57" s="147">
        <v>1.9</v>
      </c>
      <c r="AA57" s="4" t="s">
        <v>524</v>
      </c>
    </row>
    <row r="58" spans="1:27" s="4" customFormat="1" ht="19.5" customHeight="1" x14ac:dyDescent="0.3">
      <c r="A58" s="495"/>
      <c r="B58" s="474"/>
      <c r="C58" s="403"/>
      <c r="D58" s="93" t="s">
        <v>52</v>
      </c>
      <c r="E58" s="137" t="s">
        <v>321</v>
      </c>
      <c r="F58" s="135">
        <v>4</v>
      </c>
      <c r="G58" s="137" t="s">
        <v>35</v>
      </c>
      <c r="H58" s="137">
        <v>30</v>
      </c>
      <c r="I58" s="135"/>
      <c r="J58" s="135">
        <v>30</v>
      </c>
      <c r="K58" s="135"/>
      <c r="L58" s="135"/>
      <c r="M58" s="135"/>
      <c r="N58" s="34"/>
      <c r="O58" s="4" t="s">
        <v>524</v>
      </c>
      <c r="Q58" s="34"/>
      <c r="R58" s="34"/>
      <c r="S58" s="34"/>
      <c r="T58" s="35"/>
      <c r="U58" s="135"/>
      <c r="V58" s="135"/>
      <c r="W58" s="135"/>
      <c r="X58" s="135"/>
      <c r="Y58" s="36">
        <v>1.1000000000000001</v>
      </c>
      <c r="AA58" s="4" t="s">
        <v>524</v>
      </c>
    </row>
    <row r="59" spans="1:27" s="4" customFormat="1" ht="19.5" customHeight="1" x14ac:dyDescent="0.2">
      <c r="A59" s="495"/>
      <c r="B59" s="474"/>
      <c r="C59" s="488">
        <v>103</v>
      </c>
      <c r="D59" s="145" t="s">
        <v>52</v>
      </c>
      <c r="E59" s="142" t="s">
        <v>315</v>
      </c>
      <c r="F59" s="143">
        <v>4</v>
      </c>
      <c r="G59" s="143" t="s">
        <v>32</v>
      </c>
      <c r="H59" s="142">
        <v>21</v>
      </c>
      <c r="I59" s="142">
        <v>15</v>
      </c>
      <c r="J59" s="143">
        <v>30</v>
      </c>
      <c r="K59" s="143"/>
      <c r="L59" s="143"/>
      <c r="M59" s="143">
        <v>8</v>
      </c>
      <c r="N59" s="143"/>
      <c r="O59" s="4" t="s">
        <v>516</v>
      </c>
      <c r="Q59" s="143"/>
      <c r="R59" s="143"/>
      <c r="S59" s="143"/>
      <c r="T59" s="143"/>
      <c r="U59" s="143"/>
      <c r="V59" s="143"/>
      <c r="W59" s="143"/>
      <c r="X59" s="143"/>
      <c r="Y59" s="147">
        <v>1.9</v>
      </c>
      <c r="AA59" s="4" t="s">
        <v>516</v>
      </c>
    </row>
    <row r="60" spans="1:27" s="4" customFormat="1" ht="19.5" customHeight="1" x14ac:dyDescent="0.3">
      <c r="A60" s="495"/>
      <c r="B60" s="474"/>
      <c r="C60" s="488"/>
      <c r="D60" s="145" t="s">
        <v>52</v>
      </c>
      <c r="E60" s="142" t="s">
        <v>316</v>
      </c>
      <c r="F60" s="143">
        <v>4</v>
      </c>
      <c r="G60" s="143" t="s">
        <v>32</v>
      </c>
      <c r="H60" s="142">
        <v>27</v>
      </c>
      <c r="I60" s="143"/>
      <c r="J60" s="143">
        <v>30</v>
      </c>
      <c r="K60" s="143"/>
      <c r="L60" s="143"/>
      <c r="M60" s="143"/>
      <c r="N60" s="148"/>
      <c r="O60" s="4" t="s">
        <v>516</v>
      </c>
      <c r="Q60" s="148"/>
      <c r="R60" s="148"/>
      <c r="S60" s="148"/>
      <c r="T60" s="149"/>
      <c r="U60" s="143"/>
      <c r="V60" s="143"/>
      <c r="W60" s="143"/>
      <c r="X60" s="143"/>
      <c r="Y60" s="141">
        <v>1.1000000000000001</v>
      </c>
      <c r="AA60" s="4" t="s">
        <v>516</v>
      </c>
    </row>
    <row r="61" spans="1:27" s="10" customFormat="1" ht="19.5" customHeight="1" x14ac:dyDescent="0.2">
      <c r="A61" s="491">
        <v>18</v>
      </c>
      <c r="B61" s="473" t="s">
        <v>139</v>
      </c>
      <c r="C61" s="402" t="s">
        <v>665</v>
      </c>
      <c r="D61" s="93" t="s">
        <v>52</v>
      </c>
      <c r="E61" s="142" t="s">
        <v>678</v>
      </c>
      <c r="F61" s="143">
        <v>5</v>
      </c>
      <c r="G61" s="142" t="s">
        <v>35</v>
      </c>
      <c r="H61" s="142">
        <v>27</v>
      </c>
      <c r="I61" s="142">
        <v>15</v>
      </c>
      <c r="J61" s="143">
        <v>30</v>
      </c>
      <c r="K61" s="143"/>
      <c r="L61" s="143"/>
      <c r="M61" s="143">
        <v>15</v>
      </c>
      <c r="N61" s="143"/>
      <c r="O61" s="191" t="s">
        <v>498</v>
      </c>
      <c r="Q61" s="143"/>
      <c r="R61" s="143"/>
      <c r="S61" s="143"/>
      <c r="T61" s="143"/>
      <c r="U61" s="143"/>
      <c r="V61" s="143"/>
      <c r="W61" s="143"/>
      <c r="X61" s="146"/>
      <c r="Y61" s="141">
        <v>2.1</v>
      </c>
      <c r="Z61" s="11"/>
      <c r="AA61" s="191" t="s">
        <v>498</v>
      </c>
    </row>
    <row r="62" spans="1:27" s="10" customFormat="1" ht="19.5" customHeight="1" x14ac:dyDescent="0.2">
      <c r="A62" s="495"/>
      <c r="B62" s="474"/>
      <c r="C62" s="403"/>
      <c r="D62" s="77" t="s">
        <v>52</v>
      </c>
      <c r="E62" s="163" t="s">
        <v>679</v>
      </c>
      <c r="F62" s="164">
        <v>5</v>
      </c>
      <c r="G62" s="163" t="s">
        <v>35</v>
      </c>
      <c r="H62" s="163"/>
      <c r="I62" s="163"/>
      <c r="J62" s="164">
        <v>30</v>
      </c>
      <c r="K62" s="164"/>
      <c r="L62" s="164"/>
      <c r="M62" s="164"/>
      <c r="N62" s="164"/>
      <c r="O62" s="191" t="s">
        <v>518</v>
      </c>
      <c r="Q62" s="164"/>
      <c r="R62" s="164"/>
      <c r="S62" s="164"/>
      <c r="T62" s="164"/>
      <c r="U62" s="164"/>
      <c r="V62" s="164"/>
      <c r="W62" s="164"/>
      <c r="X62" s="165"/>
      <c r="Y62" s="166">
        <v>1</v>
      </c>
      <c r="Z62" s="11"/>
      <c r="AA62" s="191" t="s">
        <v>518</v>
      </c>
    </row>
    <row r="63" spans="1:27" s="10" customFormat="1" ht="19.5" customHeight="1" x14ac:dyDescent="0.2">
      <c r="A63" s="495"/>
      <c r="B63" s="474"/>
      <c r="C63" s="403"/>
      <c r="D63" s="93" t="s">
        <v>52</v>
      </c>
      <c r="E63" s="142" t="s">
        <v>680</v>
      </c>
      <c r="F63" s="143">
        <v>5</v>
      </c>
      <c r="G63" s="142" t="s">
        <v>35</v>
      </c>
      <c r="H63" s="142">
        <v>28</v>
      </c>
      <c r="I63" s="142"/>
      <c r="J63" s="143">
        <v>30</v>
      </c>
      <c r="K63" s="143"/>
      <c r="L63" s="143"/>
      <c r="M63" s="143"/>
      <c r="N63" s="143"/>
      <c r="O63" s="191" t="s">
        <v>498</v>
      </c>
      <c r="Q63" s="143"/>
      <c r="R63" s="143"/>
      <c r="S63" s="143"/>
      <c r="T63" s="143"/>
      <c r="U63" s="143"/>
      <c r="V63" s="143"/>
      <c r="W63" s="143"/>
      <c r="X63" s="146"/>
      <c r="Y63" s="141">
        <v>1.1000000000000001</v>
      </c>
      <c r="Z63" s="11"/>
      <c r="AA63" s="191" t="s">
        <v>498</v>
      </c>
    </row>
    <row r="64" spans="1:27" s="10" customFormat="1" ht="19.5" customHeight="1" x14ac:dyDescent="0.2">
      <c r="A64" s="495"/>
      <c r="B64" s="474"/>
      <c r="C64" s="403"/>
      <c r="D64" s="77" t="s">
        <v>52</v>
      </c>
      <c r="E64" s="163" t="s">
        <v>681</v>
      </c>
      <c r="F64" s="164">
        <v>5</v>
      </c>
      <c r="G64" s="163" t="s">
        <v>35</v>
      </c>
      <c r="H64" s="163"/>
      <c r="I64" s="163"/>
      <c r="J64" s="164">
        <v>30</v>
      </c>
      <c r="K64" s="164"/>
      <c r="L64" s="164"/>
      <c r="M64" s="164"/>
      <c r="N64" s="164"/>
      <c r="O64" s="191" t="s">
        <v>518</v>
      </c>
      <c r="Q64" s="164"/>
      <c r="R64" s="164"/>
      <c r="S64" s="164"/>
      <c r="T64" s="164"/>
      <c r="U64" s="164"/>
      <c r="V64" s="164"/>
      <c r="W64" s="164"/>
      <c r="X64" s="165"/>
      <c r="Y64" s="166">
        <v>1</v>
      </c>
      <c r="Z64" s="11"/>
      <c r="AA64" s="191" t="s">
        <v>518</v>
      </c>
    </row>
    <row r="65" spans="1:27" s="10" customFormat="1" ht="19.5" customHeight="1" x14ac:dyDescent="0.2">
      <c r="A65" s="495"/>
      <c r="B65" s="474"/>
      <c r="C65" s="403"/>
      <c r="D65" s="93" t="s">
        <v>52</v>
      </c>
      <c r="E65" s="142" t="s">
        <v>682</v>
      </c>
      <c r="F65" s="143">
        <v>5</v>
      </c>
      <c r="G65" s="142" t="s">
        <v>35</v>
      </c>
      <c r="H65" s="142">
        <v>25</v>
      </c>
      <c r="I65" s="142"/>
      <c r="J65" s="143">
        <v>30</v>
      </c>
      <c r="K65" s="143"/>
      <c r="L65" s="143"/>
      <c r="M65" s="143"/>
      <c r="N65" s="143"/>
      <c r="O65" s="191" t="s">
        <v>496</v>
      </c>
      <c r="Q65" s="143"/>
      <c r="R65" s="143"/>
      <c r="S65" s="143"/>
      <c r="T65" s="143"/>
      <c r="U65" s="143"/>
      <c r="V65" s="143"/>
      <c r="W65" s="143"/>
      <c r="X65" s="146"/>
      <c r="Y65" s="141">
        <v>1.1000000000000001</v>
      </c>
      <c r="Z65" s="11"/>
      <c r="AA65" s="191" t="s">
        <v>496</v>
      </c>
    </row>
    <row r="66" spans="1:27" s="10" customFormat="1" ht="19.5" customHeight="1" x14ac:dyDescent="0.2">
      <c r="A66" s="495"/>
      <c r="B66" s="474"/>
      <c r="C66" s="403"/>
      <c r="D66" s="77" t="s">
        <v>52</v>
      </c>
      <c r="E66" s="163" t="s">
        <v>683</v>
      </c>
      <c r="F66" s="164">
        <v>5</v>
      </c>
      <c r="G66" s="163" t="s">
        <v>35</v>
      </c>
      <c r="H66" s="163"/>
      <c r="I66" s="163"/>
      <c r="J66" s="164">
        <v>30</v>
      </c>
      <c r="K66" s="164"/>
      <c r="L66" s="164"/>
      <c r="M66" s="164"/>
      <c r="N66" s="164"/>
      <c r="O66" s="191" t="s">
        <v>518</v>
      </c>
      <c r="Q66" s="164"/>
      <c r="R66" s="164"/>
      <c r="S66" s="164"/>
      <c r="T66" s="164"/>
      <c r="U66" s="164"/>
      <c r="V66" s="164"/>
      <c r="W66" s="164"/>
      <c r="X66" s="165"/>
      <c r="Y66" s="166">
        <v>1</v>
      </c>
      <c r="Z66" s="11"/>
      <c r="AA66" s="191" t="s">
        <v>518</v>
      </c>
    </row>
    <row r="67" spans="1:27" s="10" customFormat="1" ht="19.5" customHeight="1" x14ac:dyDescent="0.2">
      <c r="A67" s="495"/>
      <c r="B67" s="474"/>
      <c r="C67" s="403"/>
      <c r="D67" s="93" t="s">
        <v>52</v>
      </c>
      <c r="E67" s="142" t="s">
        <v>684</v>
      </c>
      <c r="F67" s="143">
        <v>5</v>
      </c>
      <c r="G67" s="142" t="s">
        <v>35</v>
      </c>
      <c r="H67" s="142">
        <v>27</v>
      </c>
      <c r="I67" s="142"/>
      <c r="J67" s="143">
        <v>30</v>
      </c>
      <c r="K67" s="143"/>
      <c r="L67" s="143"/>
      <c r="M67" s="143"/>
      <c r="N67" s="143"/>
      <c r="O67" s="191" t="s">
        <v>496</v>
      </c>
      <c r="Q67" s="143"/>
      <c r="R67" s="143"/>
      <c r="S67" s="143"/>
      <c r="T67" s="143"/>
      <c r="U67" s="143"/>
      <c r="V67" s="143"/>
      <c r="W67" s="143"/>
      <c r="X67" s="146"/>
      <c r="Y67" s="141">
        <v>1.1000000000000001</v>
      </c>
      <c r="Z67" s="11"/>
      <c r="AA67" s="191" t="s">
        <v>496</v>
      </c>
    </row>
    <row r="68" spans="1:27" s="10" customFormat="1" ht="19.5" customHeight="1" x14ac:dyDescent="0.2">
      <c r="A68" s="495"/>
      <c r="B68" s="474"/>
      <c r="C68" s="403"/>
      <c r="D68" s="77" t="s">
        <v>52</v>
      </c>
      <c r="E68" s="163" t="s">
        <v>685</v>
      </c>
      <c r="F68" s="164">
        <v>5</v>
      </c>
      <c r="G68" s="163" t="s">
        <v>35</v>
      </c>
      <c r="H68" s="163"/>
      <c r="I68" s="163"/>
      <c r="J68" s="164">
        <v>30</v>
      </c>
      <c r="K68" s="164"/>
      <c r="L68" s="164"/>
      <c r="M68" s="164"/>
      <c r="N68" s="164"/>
      <c r="O68" s="191" t="s">
        <v>498</v>
      </c>
      <c r="Q68" s="164"/>
      <c r="R68" s="164"/>
      <c r="S68" s="164"/>
      <c r="T68" s="164"/>
      <c r="U68" s="164"/>
      <c r="V68" s="164"/>
      <c r="W68" s="164"/>
      <c r="X68" s="165"/>
      <c r="Y68" s="166">
        <v>1</v>
      </c>
      <c r="Z68" s="11"/>
      <c r="AA68" s="191" t="s">
        <v>498</v>
      </c>
    </row>
    <row r="69" spans="1:27" s="10" customFormat="1" ht="19.5" customHeight="1" x14ac:dyDescent="0.2">
      <c r="A69" s="495"/>
      <c r="B69" s="474"/>
      <c r="C69" s="403"/>
      <c r="D69" s="145" t="s">
        <v>52</v>
      </c>
      <c r="E69" s="142" t="s">
        <v>686</v>
      </c>
      <c r="F69" s="143">
        <v>5</v>
      </c>
      <c r="G69" s="142" t="s">
        <v>32</v>
      </c>
      <c r="H69" s="142">
        <v>30</v>
      </c>
      <c r="I69" s="142">
        <v>15</v>
      </c>
      <c r="J69" s="143">
        <v>30</v>
      </c>
      <c r="K69" s="143"/>
      <c r="L69" s="143"/>
      <c r="M69" s="143">
        <v>15</v>
      </c>
      <c r="N69" s="143"/>
      <c r="O69" s="191" t="s">
        <v>512</v>
      </c>
      <c r="Q69" s="143"/>
      <c r="R69" s="143"/>
      <c r="S69" s="143"/>
      <c r="T69" s="143"/>
      <c r="U69" s="143"/>
      <c r="V69" s="143"/>
      <c r="W69" s="143"/>
      <c r="X69" s="146"/>
      <c r="Y69" s="141">
        <v>2.1</v>
      </c>
      <c r="Z69" s="11"/>
      <c r="AA69" s="191" t="s">
        <v>512</v>
      </c>
    </row>
    <row r="70" spans="1:27" s="10" customFormat="1" ht="19.5" customHeight="1" x14ac:dyDescent="0.2">
      <c r="A70" s="492"/>
      <c r="B70" s="475"/>
      <c r="C70" s="493"/>
      <c r="D70" s="167" t="s">
        <v>52</v>
      </c>
      <c r="E70" s="163" t="s">
        <v>687</v>
      </c>
      <c r="F70" s="164">
        <v>5</v>
      </c>
      <c r="G70" s="163" t="s">
        <v>32</v>
      </c>
      <c r="H70" s="163"/>
      <c r="I70" s="163"/>
      <c r="J70" s="164">
        <v>30</v>
      </c>
      <c r="K70" s="164"/>
      <c r="L70" s="164"/>
      <c r="M70" s="164"/>
      <c r="N70" s="164"/>
      <c r="O70" s="191" t="s">
        <v>519</v>
      </c>
      <c r="Q70" s="164"/>
      <c r="R70" s="164"/>
      <c r="S70" s="164"/>
      <c r="T70" s="164"/>
      <c r="U70" s="164"/>
      <c r="V70" s="164"/>
      <c r="W70" s="164"/>
      <c r="X70" s="165"/>
      <c r="Y70" s="166">
        <v>1</v>
      </c>
      <c r="Z70" s="11"/>
      <c r="AA70" s="191" t="s">
        <v>519</v>
      </c>
    </row>
    <row r="71" spans="1:27" s="10" customFormat="1" ht="23.25" customHeight="1" x14ac:dyDescent="0.2">
      <c r="A71" s="490">
        <v>19</v>
      </c>
      <c r="B71" s="401" t="s">
        <v>140</v>
      </c>
      <c r="C71" s="402"/>
      <c r="D71" s="145" t="s">
        <v>52</v>
      </c>
      <c r="E71" s="142" t="s">
        <v>97</v>
      </c>
      <c r="F71" s="143">
        <v>3</v>
      </c>
      <c r="G71" s="142" t="s">
        <v>35</v>
      </c>
      <c r="H71" s="142">
        <v>27</v>
      </c>
      <c r="I71" s="143"/>
      <c r="J71" s="143">
        <v>30</v>
      </c>
      <c r="K71" s="143"/>
      <c r="L71" s="143"/>
      <c r="M71" s="143">
        <v>7</v>
      </c>
      <c r="N71" s="143"/>
      <c r="O71" s="191" t="s">
        <v>518</v>
      </c>
      <c r="Q71" s="143"/>
      <c r="R71" s="143"/>
      <c r="S71" s="143"/>
      <c r="T71" s="143"/>
      <c r="U71" s="143"/>
      <c r="V71" s="143"/>
      <c r="W71" s="143"/>
      <c r="X71" s="146"/>
      <c r="Y71" s="141">
        <v>1.2</v>
      </c>
      <c r="Z71" s="11"/>
      <c r="AA71" s="191" t="s">
        <v>518</v>
      </c>
    </row>
    <row r="72" spans="1:27" s="10" customFormat="1" ht="23.25" customHeight="1" x14ac:dyDescent="0.2">
      <c r="A72" s="490"/>
      <c r="B72" s="401"/>
      <c r="C72" s="403"/>
      <c r="D72" s="145" t="s">
        <v>52</v>
      </c>
      <c r="E72" s="142" t="s">
        <v>167</v>
      </c>
      <c r="F72" s="143">
        <v>3</v>
      </c>
      <c r="G72" s="142" t="s">
        <v>35</v>
      </c>
      <c r="H72" s="142">
        <v>28</v>
      </c>
      <c r="I72" s="143"/>
      <c r="J72" s="143">
        <v>30</v>
      </c>
      <c r="K72" s="143"/>
      <c r="L72" s="143"/>
      <c r="M72" s="143"/>
      <c r="N72" s="143"/>
      <c r="O72" s="191" t="s">
        <v>518</v>
      </c>
      <c r="Q72" s="143"/>
      <c r="R72" s="143"/>
      <c r="S72" s="143"/>
      <c r="T72" s="143"/>
      <c r="U72" s="143"/>
      <c r="V72" s="143"/>
      <c r="W72" s="143"/>
      <c r="X72" s="146"/>
      <c r="Y72" s="141">
        <v>1.1000000000000001</v>
      </c>
      <c r="Z72" s="11"/>
      <c r="AA72" s="191" t="s">
        <v>518</v>
      </c>
    </row>
    <row r="73" spans="1:27" s="10" customFormat="1" ht="23.25" customHeight="1" x14ac:dyDescent="0.2">
      <c r="A73" s="490"/>
      <c r="B73" s="401"/>
      <c r="C73" s="403"/>
      <c r="D73" s="93" t="s">
        <v>52</v>
      </c>
      <c r="E73" s="137" t="s">
        <v>249</v>
      </c>
      <c r="F73" s="135">
        <v>3</v>
      </c>
      <c r="G73" s="137" t="s">
        <v>35</v>
      </c>
      <c r="H73" s="137">
        <v>25</v>
      </c>
      <c r="I73" s="135"/>
      <c r="J73" s="135">
        <v>30</v>
      </c>
      <c r="K73" s="135"/>
      <c r="L73" s="135"/>
      <c r="M73" s="135"/>
      <c r="N73" s="135"/>
      <c r="O73" s="191" t="s">
        <v>523</v>
      </c>
      <c r="Q73" s="135"/>
      <c r="R73" s="135"/>
      <c r="S73" s="135"/>
      <c r="T73" s="135"/>
      <c r="U73" s="135"/>
      <c r="V73" s="135"/>
      <c r="W73" s="135"/>
      <c r="X73" s="74"/>
      <c r="Y73" s="36">
        <v>1.1000000000000001</v>
      </c>
      <c r="Z73" s="11"/>
      <c r="AA73" s="191" t="s">
        <v>523</v>
      </c>
    </row>
    <row r="74" spans="1:27" s="10" customFormat="1" ht="23.25" customHeight="1" x14ac:dyDescent="0.2">
      <c r="A74" s="490"/>
      <c r="B74" s="401"/>
      <c r="C74" s="403"/>
      <c r="D74" s="93" t="s">
        <v>52</v>
      </c>
      <c r="E74" s="137" t="s">
        <v>250</v>
      </c>
      <c r="F74" s="135">
        <v>3</v>
      </c>
      <c r="G74" s="137" t="s">
        <v>35</v>
      </c>
      <c r="H74" s="137">
        <v>27</v>
      </c>
      <c r="I74" s="135"/>
      <c r="J74" s="135">
        <v>30</v>
      </c>
      <c r="K74" s="135"/>
      <c r="L74" s="135"/>
      <c r="M74" s="135"/>
      <c r="N74" s="135"/>
      <c r="O74" s="191" t="s">
        <v>523</v>
      </c>
      <c r="Q74" s="135"/>
      <c r="R74" s="135"/>
      <c r="S74" s="135"/>
      <c r="T74" s="135"/>
      <c r="U74" s="135"/>
      <c r="V74" s="135"/>
      <c r="W74" s="135"/>
      <c r="X74" s="74"/>
      <c r="Y74" s="36">
        <v>1.1000000000000001</v>
      </c>
      <c r="Z74" s="11"/>
      <c r="AA74" s="191" t="s">
        <v>523</v>
      </c>
    </row>
    <row r="75" spans="1:27" s="10" customFormat="1" ht="23.25" customHeight="1" x14ac:dyDescent="0.2">
      <c r="A75" s="490"/>
      <c r="B75" s="401"/>
      <c r="C75" s="493"/>
      <c r="D75" s="145" t="s">
        <v>52</v>
      </c>
      <c r="E75" s="142" t="s">
        <v>102</v>
      </c>
      <c r="F75" s="142">
        <v>3</v>
      </c>
      <c r="G75" s="142" t="s">
        <v>32</v>
      </c>
      <c r="H75" s="142">
        <v>30</v>
      </c>
      <c r="I75" s="143"/>
      <c r="J75" s="143">
        <v>30</v>
      </c>
      <c r="K75" s="143"/>
      <c r="L75" s="143"/>
      <c r="M75" s="143">
        <v>7</v>
      </c>
      <c r="N75" s="143"/>
      <c r="O75" s="191" t="s">
        <v>519</v>
      </c>
      <c r="Q75" s="143"/>
      <c r="R75" s="143"/>
      <c r="S75" s="143"/>
      <c r="T75" s="143"/>
      <c r="U75" s="143"/>
      <c r="V75" s="143"/>
      <c r="W75" s="143"/>
      <c r="X75" s="146"/>
      <c r="Y75" s="141">
        <v>1.2</v>
      </c>
      <c r="Z75" s="11"/>
      <c r="AA75" s="191" t="s">
        <v>519</v>
      </c>
    </row>
    <row r="76" spans="1:27" s="10" customFormat="1" ht="23.25" customHeight="1" x14ac:dyDescent="0.2">
      <c r="A76" s="491">
        <v>20</v>
      </c>
      <c r="B76" s="401" t="s">
        <v>141</v>
      </c>
      <c r="C76" s="402" t="s">
        <v>660</v>
      </c>
      <c r="D76" s="145" t="s">
        <v>52</v>
      </c>
      <c r="E76" s="142" t="s">
        <v>97</v>
      </c>
      <c r="F76" s="143">
        <v>5</v>
      </c>
      <c r="G76" s="142" t="s">
        <v>35</v>
      </c>
      <c r="H76" s="142">
        <v>27</v>
      </c>
      <c r="I76" s="142"/>
      <c r="J76" s="143">
        <v>45</v>
      </c>
      <c r="K76" s="143"/>
      <c r="L76" s="143"/>
      <c r="M76" s="143">
        <v>15</v>
      </c>
      <c r="N76" s="143"/>
      <c r="O76" s="191" t="s">
        <v>518</v>
      </c>
      <c r="Q76" s="143"/>
      <c r="R76" s="143"/>
      <c r="S76" s="143"/>
      <c r="T76" s="143"/>
      <c r="U76" s="143"/>
      <c r="V76" s="143"/>
      <c r="W76" s="143"/>
      <c r="X76" s="146"/>
      <c r="Y76" s="141">
        <v>2.1</v>
      </c>
      <c r="Z76" s="11"/>
      <c r="AA76" s="191" t="s">
        <v>518</v>
      </c>
    </row>
    <row r="77" spans="1:27" s="10" customFormat="1" ht="23.25" customHeight="1" x14ac:dyDescent="0.2">
      <c r="A77" s="495"/>
      <c r="B77" s="401"/>
      <c r="C77" s="403"/>
      <c r="D77" s="145" t="s">
        <v>52</v>
      </c>
      <c r="E77" s="142" t="s">
        <v>97</v>
      </c>
      <c r="F77" s="143">
        <v>5</v>
      </c>
      <c r="G77" s="142" t="s">
        <v>35</v>
      </c>
      <c r="H77" s="142"/>
      <c r="I77" s="142"/>
      <c r="J77" s="143">
        <v>45</v>
      </c>
      <c r="K77" s="143"/>
      <c r="L77" s="143"/>
      <c r="M77" s="143"/>
      <c r="N77" s="143"/>
      <c r="O77" s="191" t="s">
        <v>518</v>
      </c>
      <c r="Q77" s="143"/>
      <c r="R77" s="143"/>
      <c r="S77" s="143"/>
      <c r="T77" s="143"/>
      <c r="U77" s="143"/>
      <c r="V77" s="143"/>
      <c r="W77" s="143"/>
      <c r="X77" s="146"/>
      <c r="Y77" s="141">
        <v>1.5</v>
      </c>
      <c r="Z77" s="11"/>
      <c r="AA77" s="191" t="s">
        <v>518</v>
      </c>
    </row>
    <row r="78" spans="1:27" s="10" customFormat="1" ht="23.25" customHeight="1" x14ac:dyDescent="0.2">
      <c r="A78" s="495"/>
      <c r="B78" s="401"/>
      <c r="C78" s="403"/>
      <c r="D78" s="145" t="s">
        <v>52</v>
      </c>
      <c r="E78" s="142" t="s">
        <v>167</v>
      </c>
      <c r="F78" s="143">
        <v>5</v>
      </c>
      <c r="G78" s="142" t="s">
        <v>35</v>
      </c>
      <c r="H78" s="142">
        <v>28</v>
      </c>
      <c r="I78" s="142"/>
      <c r="J78" s="143">
        <v>45</v>
      </c>
      <c r="K78" s="143"/>
      <c r="L78" s="143"/>
      <c r="M78" s="143"/>
      <c r="N78" s="143"/>
      <c r="O78" s="191" t="s">
        <v>518</v>
      </c>
      <c r="Q78" s="143"/>
      <c r="R78" s="143"/>
      <c r="S78" s="143"/>
      <c r="T78" s="143"/>
      <c r="U78" s="143"/>
      <c r="V78" s="143"/>
      <c r="W78" s="143"/>
      <c r="X78" s="146"/>
      <c r="Y78" s="141">
        <v>1.6</v>
      </c>
      <c r="Z78" s="11"/>
      <c r="AA78" s="191" t="s">
        <v>518</v>
      </c>
    </row>
    <row r="79" spans="1:27" s="10" customFormat="1" ht="23.25" customHeight="1" x14ac:dyDescent="0.2">
      <c r="A79" s="495"/>
      <c r="B79" s="401"/>
      <c r="C79" s="403"/>
      <c r="D79" s="145" t="s">
        <v>52</v>
      </c>
      <c r="E79" s="142" t="s">
        <v>167</v>
      </c>
      <c r="F79" s="143">
        <v>5</v>
      </c>
      <c r="G79" s="142" t="s">
        <v>35</v>
      </c>
      <c r="H79" s="142"/>
      <c r="I79" s="142"/>
      <c r="J79" s="143">
        <v>45</v>
      </c>
      <c r="K79" s="143"/>
      <c r="L79" s="143"/>
      <c r="M79" s="143"/>
      <c r="N79" s="143"/>
      <c r="O79" s="191" t="s">
        <v>518</v>
      </c>
      <c r="Q79" s="143"/>
      <c r="R79" s="143"/>
      <c r="S79" s="143"/>
      <c r="T79" s="143"/>
      <c r="U79" s="143"/>
      <c r="V79" s="143"/>
      <c r="W79" s="143"/>
      <c r="X79" s="146"/>
      <c r="Y79" s="141">
        <v>1.5</v>
      </c>
      <c r="Z79" s="11"/>
      <c r="AA79" s="191" t="s">
        <v>518</v>
      </c>
    </row>
    <row r="80" spans="1:27" s="10" customFormat="1" ht="23.25" customHeight="1" x14ac:dyDescent="0.2">
      <c r="A80" s="495"/>
      <c r="B80" s="401"/>
      <c r="C80" s="403"/>
      <c r="D80" s="145" t="s">
        <v>52</v>
      </c>
      <c r="E80" s="142" t="s">
        <v>249</v>
      </c>
      <c r="F80" s="143">
        <v>5</v>
      </c>
      <c r="G80" s="142" t="s">
        <v>35</v>
      </c>
      <c r="H80" s="142">
        <v>25</v>
      </c>
      <c r="I80" s="142"/>
      <c r="J80" s="143">
        <v>45</v>
      </c>
      <c r="K80" s="143"/>
      <c r="L80" s="143"/>
      <c r="M80" s="143"/>
      <c r="N80" s="143"/>
      <c r="O80" s="191" t="s">
        <v>518</v>
      </c>
      <c r="Q80" s="143"/>
      <c r="R80" s="143"/>
      <c r="S80" s="143"/>
      <c r="T80" s="143"/>
      <c r="U80" s="143"/>
      <c r="V80" s="143"/>
      <c r="W80" s="143"/>
      <c r="X80" s="146"/>
      <c r="Y80" s="141">
        <v>1.6</v>
      </c>
      <c r="Z80" s="11"/>
      <c r="AA80" s="191" t="s">
        <v>518</v>
      </c>
    </row>
    <row r="81" spans="1:27" s="10" customFormat="1" ht="23.25" customHeight="1" x14ac:dyDescent="0.2">
      <c r="A81" s="495"/>
      <c r="B81" s="401"/>
      <c r="C81" s="403"/>
      <c r="D81" s="145" t="s">
        <v>52</v>
      </c>
      <c r="E81" s="142" t="s">
        <v>249</v>
      </c>
      <c r="F81" s="143">
        <v>5</v>
      </c>
      <c r="G81" s="142" t="s">
        <v>35</v>
      </c>
      <c r="H81" s="142"/>
      <c r="I81" s="142"/>
      <c r="J81" s="143">
        <v>45</v>
      </c>
      <c r="K81" s="143"/>
      <c r="L81" s="143"/>
      <c r="M81" s="143"/>
      <c r="N81" s="143"/>
      <c r="O81" s="191" t="s">
        <v>518</v>
      </c>
      <c r="Q81" s="143"/>
      <c r="R81" s="143"/>
      <c r="S81" s="143"/>
      <c r="T81" s="143"/>
      <c r="U81" s="143"/>
      <c r="V81" s="143"/>
      <c r="W81" s="143"/>
      <c r="X81" s="146"/>
      <c r="Y81" s="141">
        <v>1.5</v>
      </c>
      <c r="Z81" s="11"/>
      <c r="AA81" s="191" t="s">
        <v>518</v>
      </c>
    </row>
    <row r="82" spans="1:27" s="10" customFormat="1" ht="23.25" customHeight="1" x14ac:dyDescent="0.2">
      <c r="A82" s="495"/>
      <c r="B82" s="401"/>
      <c r="C82" s="403"/>
      <c r="D82" s="145" t="s">
        <v>52</v>
      </c>
      <c r="E82" s="142" t="s">
        <v>250</v>
      </c>
      <c r="F82" s="143">
        <v>5</v>
      </c>
      <c r="G82" s="142" t="s">
        <v>35</v>
      </c>
      <c r="H82" s="142">
        <v>27</v>
      </c>
      <c r="I82" s="142"/>
      <c r="J82" s="143">
        <v>45</v>
      </c>
      <c r="K82" s="143"/>
      <c r="L82" s="143"/>
      <c r="M82" s="143"/>
      <c r="N82" s="143"/>
      <c r="O82" s="191" t="s">
        <v>518</v>
      </c>
      <c r="Q82" s="143"/>
      <c r="R82" s="143"/>
      <c r="S82" s="143"/>
      <c r="T82" s="143"/>
      <c r="U82" s="143"/>
      <c r="V82" s="143"/>
      <c r="W82" s="143"/>
      <c r="X82" s="146"/>
      <c r="Y82" s="141">
        <v>1.6</v>
      </c>
      <c r="Z82" s="11"/>
      <c r="AA82" s="191" t="s">
        <v>518</v>
      </c>
    </row>
    <row r="83" spans="1:27" s="10" customFormat="1" ht="23.25" customHeight="1" x14ac:dyDescent="0.2">
      <c r="A83" s="495"/>
      <c r="B83" s="401"/>
      <c r="C83" s="403"/>
      <c r="D83" s="145" t="s">
        <v>52</v>
      </c>
      <c r="E83" s="142" t="s">
        <v>250</v>
      </c>
      <c r="F83" s="143">
        <v>5</v>
      </c>
      <c r="G83" s="142" t="s">
        <v>35</v>
      </c>
      <c r="H83" s="142"/>
      <c r="I83" s="142"/>
      <c r="J83" s="143">
        <v>45</v>
      </c>
      <c r="K83" s="143"/>
      <c r="L83" s="143"/>
      <c r="M83" s="143"/>
      <c r="N83" s="143"/>
      <c r="O83" s="191" t="s">
        <v>508</v>
      </c>
      <c r="Q83" s="143"/>
      <c r="R83" s="143"/>
      <c r="S83" s="143"/>
      <c r="T83" s="143"/>
      <c r="U83" s="143"/>
      <c r="V83" s="143"/>
      <c r="W83" s="143"/>
      <c r="X83" s="146"/>
      <c r="Y83" s="141">
        <v>1.5</v>
      </c>
      <c r="Z83" s="11"/>
      <c r="AA83" s="191" t="s">
        <v>508</v>
      </c>
    </row>
    <row r="84" spans="1:27" s="10" customFormat="1" ht="23.25" customHeight="1" x14ac:dyDescent="0.2">
      <c r="A84" s="495"/>
      <c r="B84" s="401"/>
      <c r="C84" s="403"/>
      <c r="D84" s="145" t="s">
        <v>52</v>
      </c>
      <c r="E84" s="142" t="s">
        <v>102</v>
      </c>
      <c r="F84" s="142">
        <v>5</v>
      </c>
      <c r="G84" s="142" t="s">
        <v>32</v>
      </c>
      <c r="H84" s="142">
        <v>30</v>
      </c>
      <c r="I84" s="142"/>
      <c r="J84" s="143">
        <v>45</v>
      </c>
      <c r="K84" s="143"/>
      <c r="L84" s="143"/>
      <c r="M84" s="143">
        <v>15</v>
      </c>
      <c r="N84" s="143"/>
      <c r="O84" s="191" t="s">
        <v>519</v>
      </c>
      <c r="Q84" s="143"/>
      <c r="R84" s="143"/>
      <c r="S84" s="143"/>
      <c r="T84" s="143"/>
      <c r="U84" s="143"/>
      <c r="V84" s="143"/>
      <c r="W84" s="143"/>
      <c r="X84" s="146"/>
      <c r="Y84" s="141">
        <v>2.1</v>
      </c>
      <c r="Z84" s="11"/>
      <c r="AA84" s="191" t="s">
        <v>519</v>
      </c>
    </row>
    <row r="85" spans="1:27" s="10" customFormat="1" ht="23.25" customHeight="1" x14ac:dyDescent="0.2">
      <c r="A85" s="492"/>
      <c r="B85" s="401"/>
      <c r="C85" s="493"/>
      <c r="D85" s="145" t="s">
        <v>52</v>
      </c>
      <c r="E85" s="142" t="s">
        <v>102</v>
      </c>
      <c r="F85" s="142">
        <v>5</v>
      </c>
      <c r="G85" s="142" t="s">
        <v>32</v>
      </c>
      <c r="H85" s="142"/>
      <c r="I85" s="143"/>
      <c r="J85" s="143">
        <v>45</v>
      </c>
      <c r="K85" s="143"/>
      <c r="L85" s="143"/>
      <c r="M85" s="143"/>
      <c r="N85" s="143"/>
      <c r="O85" s="191" t="s">
        <v>519</v>
      </c>
      <c r="Q85" s="143"/>
      <c r="R85" s="143"/>
      <c r="S85" s="143"/>
      <c r="T85" s="143"/>
      <c r="U85" s="143"/>
      <c r="V85" s="143"/>
      <c r="W85" s="143"/>
      <c r="X85" s="146"/>
      <c r="Y85" s="141">
        <v>1.5</v>
      </c>
      <c r="Z85" s="11"/>
      <c r="AA85" s="191" t="s">
        <v>519</v>
      </c>
    </row>
    <row r="86" spans="1:27" s="10" customFormat="1" ht="23.25" customHeight="1" x14ac:dyDescent="0.2">
      <c r="A86" s="490">
        <v>21</v>
      </c>
      <c r="B86" s="401" t="s">
        <v>182</v>
      </c>
      <c r="C86" s="303"/>
      <c r="D86" s="93" t="s">
        <v>52</v>
      </c>
      <c r="E86" s="137" t="s">
        <v>105</v>
      </c>
      <c r="F86" s="137">
        <v>5</v>
      </c>
      <c r="G86" s="137" t="s">
        <v>35</v>
      </c>
      <c r="H86" s="137">
        <v>18</v>
      </c>
      <c r="I86" s="135"/>
      <c r="J86" s="135">
        <v>45</v>
      </c>
      <c r="K86" s="135"/>
      <c r="L86" s="135"/>
      <c r="M86" s="135">
        <v>15</v>
      </c>
      <c r="N86" s="135"/>
      <c r="O86" s="191" t="s">
        <v>517</v>
      </c>
      <c r="Q86" s="135"/>
      <c r="R86" s="135"/>
      <c r="S86" s="135"/>
      <c r="T86" s="135"/>
      <c r="U86" s="135"/>
      <c r="V86" s="135"/>
      <c r="W86" s="135"/>
      <c r="X86" s="135"/>
      <c r="Y86" s="36">
        <v>2.1</v>
      </c>
      <c r="Z86" s="11"/>
      <c r="AA86" s="191" t="s">
        <v>521</v>
      </c>
    </row>
    <row r="87" spans="1:27" s="10" customFormat="1" ht="23.25" customHeight="1" x14ac:dyDescent="0.2">
      <c r="A87" s="490"/>
      <c r="B87" s="401"/>
      <c r="C87" s="303"/>
      <c r="D87" s="93" t="s">
        <v>52</v>
      </c>
      <c r="E87" s="137" t="s">
        <v>221</v>
      </c>
      <c r="F87" s="137">
        <v>5</v>
      </c>
      <c r="G87" s="137" t="s">
        <v>35</v>
      </c>
      <c r="H87" s="137">
        <v>17</v>
      </c>
      <c r="I87" s="135"/>
      <c r="J87" s="135">
        <v>45</v>
      </c>
      <c r="K87" s="135"/>
      <c r="L87" s="135"/>
      <c r="M87" s="135"/>
      <c r="N87" s="135"/>
      <c r="O87" s="191" t="s">
        <v>517</v>
      </c>
      <c r="Q87" s="135"/>
      <c r="R87" s="135"/>
      <c r="S87" s="135"/>
      <c r="T87" s="135"/>
      <c r="U87" s="135"/>
      <c r="V87" s="135"/>
      <c r="W87" s="135"/>
      <c r="X87" s="135"/>
      <c r="Y87" s="36">
        <v>1.6</v>
      </c>
      <c r="Z87" s="11"/>
      <c r="AA87" s="191" t="s">
        <v>521</v>
      </c>
    </row>
    <row r="88" spans="1:27" s="10" customFormat="1" ht="23.25" customHeight="1" x14ac:dyDescent="0.2">
      <c r="A88" s="490"/>
      <c r="B88" s="401"/>
      <c r="C88" s="303"/>
      <c r="D88" s="93" t="s">
        <v>52</v>
      </c>
      <c r="E88" s="137" t="s">
        <v>106</v>
      </c>
      <c r="F88" s="137">
        <v>5</v>
      </c>
      <c r="G88" s="137" t="s">
        <v>32</v>
      </c>
      <c r="H88" s="137">
        <v>12</v>
      </c>
      <c r="I88" s="135"/>
      <c r="J88" s="135">
        <v>45</v>
      </c>
      <c r="K88" s="135"/>
      <c r="L88" s="135"/>
      <c r="M88" s="135">
        <v>15</v>
      </c>
      <c r="N88" s="135"/>
      <c r="O88" s="191" t="s">
        <v>519</v>
      </c>
      <c r="Q88" s="135"/>
      <c r="R88" s="135"/>
      <c r="S88" s="135"/>
      <c r="T88" s="135"/>
      <c r="U88" s="135"/>
      <c r="V88" s="135"/>
      <c r="W88" s="135"/>
      <c r="X88" s="135"/>
      <c r="Y88" s="36">
        <v>2.1</v>
      </c>
      <c r="Z88" s="11"/>
      <c r="AA88" s="191" t="s">
        <v>519</v>
      </c>
    </row>
    <row r="89" spans="1:27" s="10" customFormat="1" ht="23.25" customHeight="1" x14ac:dyDescent="0.2">
      <c r="A89" s="490">
        <v>22</v>
      </c>
      <c r="B89" s="401" t="s">
        <v>183</v>
      </c>
      <c r="C89" s="303"/>
      <c r="D89" s="145" t="s">
        <v>52</v>
      </c>
      <c r="E89" s="142" t="s">
        <v>105</v>
      </c>
      <c r="F89" s="142">
        <v>5</v>
      </c>
      <c r="G89" s="142" t="s">
        <v>35</v>
      </c>
      <c r="H89" s="142">
        <v>18</v>
      </c>
      <c r="I89" s="143"/>
      <c r="J89" s="143">
        <v>45</v>
      </c>
      <c r="K89" s="143"/>
      <c r="L89" s="143"/>
      <c r="M89" s="143">
        <v>15</v>
      </c>
      <c r="N89" s="143"/>
      <c r="O89" s="191" t="s">
        <v>521</v>
      </c>
      <c r="Q89" s="143"/>
      <c r="R89" s="143"/>
      <c r="S89" s="143"/>
      <c r="T89" s="143"/>
      <c r="U89" s="143"/>
      <c r="V89" s="143"/>
      <c r="W89" s="143"/>
      <c r="X89" s="143"/>
      <c r="Y89" s="141">
        <v>2.1</v>
      </c>
      <c r="Z89" s="11"/>
      <c r="AA89" s="191" t="s">
        <v>521</v>
      </c>
    </row>
    <row r="90" spans="1:27" s="10" customFormat="1" ht="23.25" customHeight="1" x14ac:dyDescent="0.2">
      <c r="A90" s="490"/>
      <c r="B90" s="401"/>
      <c r="C90" s="303"/>
      <c r="D90" s="145" t="s">
        <v>52</v>
      </c>
      <c r="E90" s="142" t="s">
        <v>221</v>
      </c>
      <c r="F90" s="142">
        <v>5</v>
      </c>
      <c r="G90" s="142" t="s">
        <v>35</v>
      </c>
      <c r="H90" s="142">
        <v>17</v>
      </c>
      <c r="I90" s="143"/>
      <c r="J90" s="143">
        <v>45</v>
      </c>
      <c r="K90" s="143"/>
      <c r="L90" s="143"/>
      <c r="M90" s="143"/>
      <c r="N90" s="143"/>
      <c r="O90" s="191" t="s">
        <v>521</v>
      </c>
      <c r="Q90" s="143"/>
      <c r="R90" s="143"/>
      <c r="S90" s="143"/>
      <c r="T90" s="143"/>
      <c r="U90" s="143"/>
      <c r="V90" s="143"/>
      <c r="W90" s="143"/>
      <c r="X90" s="143"/>
      <c r="Y90" s="141">
        <v>1.6</v>
      </c>
      <c r="Z90" s="11"/>
      <c r="AA90" s="191" t="s">
        <v>521</v>
      </c>
    </row>
    <row r="91" spans="1:27" s="10" customFormat="1" ht="23.25" customHeight="1" x14ac:dyDescent="0.2">
      <c r="A91" s="490"/>
      <c r="B91" s="401"/>
      <c r="C91" s="303"/>
      <c r="D91" s="145" t="s">
        <v>52</v>
      </c>
      <c r="E91" s="142" t="s">
        <v>106</v>
      </c>
      <c r="F91" s="142">
        <v>5</v>
      </c>
      <c r="G91" s="142" t="s">
        <v>32</v>
      </c>
      <c r="H91" s="142">
        <v>12</v>
      </c>
      <c r="I91" s="143"/>
      <c r="J91" s="143">
        <v>45</v>
      </c>
      <c r="K91" s="143"/>
      <c r="L91" s="143"/>
      <c r="M91" s="143">
        <v>15</v>
      </c>
      <c r="N91" s="143"/>
      <c r="O91" s="191" t="s">
        <v>516</v>
      </c>
      <c r="Q91" s="143"/>
      <c r="R91" s="143"/>
      <c r="S91" s="143"/>
      <c r="T91" s="143"/>
      <c r="U91" s="143"/>
      <c r="V91" s="143"/>
      <c r="W91" s="143"/>
      <c r="X91" s="143"/>
      <c r="Y91" s="141">
        <v>2.1</v>
      </c>
      <c r="Z91" s="11"/>
      <c r="AA91" s="191" t="s">
        <v>516</v>
      </c>
    </row>
    <row r="92" spans="1:27" s="10" customFormat="1" ht="23.25" customHeight="1" x14ac:dyDescent="0.2">
      <c r="A92" s="490">
        <v>23</v>
      </c>
      <c r="B92" s="401" t="s">
        <v>184</v>
      </c>
      <c r="C92" s="303"/>
      <c r="D92" s="145" t="s">
        <v>52</v>
      </c>
      <c r="E92" s="142" t="s">
        <v>105</v>
      </c>
      <c r="F92" s="142">
        <v>5</v>
      </c>
      <c r="G92" s="142" t="s">
        <v>35</v>
      </c>
      <c r="H92" s="142">
        <v>18</v>
      </c>
      <c r="I92" s="143">
        <v>15</v>
      </c>
      <c r="J92" s="143">
        <v>30</v>
      </c>
      <c r="K92" s="143"/>
      <c r="L92" s="143"/>
      <c r="M92" s="143">
        <v>15</v>
      </c>
      <c r="N92" s="143"/>
      <c r="O92" s="191" t="s">
        <v>514</v>
      </c>
      <c r="Q92" s="143"/>
      <c r="R92" s="143"/>
      <c r="S92" s="143"/>
      <c r="T92" s="143"/>
      <c r="U92" s="143"/>
      <c r="V92" s="143"/>
      <c r="W92" s="143"/>
      <c r="X92" s="143"/>
      <c r="Y92" s="141">
        <v>2.1</v>
      </c>
      <c r="Z92" s="11"/>
      <c r="AA92" s="191" t="s">
        <v>514</v>
      </c>
    </row>
    <row r="93" spans="1:27" s="10" customFormat="1" ht="23.25" customHeight="1" x14ac:dyDescent="0.2">
      <c r="A93" s="490"/>
      <c r="B93" s="401"/>
      <c r="C93" s="303"/>
      <c r="D93" s="145" t="s">
        <v>52</v>
      </c>
      <c r="E93" s="142" t="s">
        <v>221</v>
      </c>
      <c r="F93" s="142">
        <v>5</v>
      </c>
      <c r="G93" s="142" t="s">
        <v>35</v>
      </c>
      <c r="H93" s="142">
        <v>17</v>
      </c>
      <c r="I93" s="143"/>
      <c r="J93" s="143">
        <v>30</v>
      </c>
      <c r="K93" s="143"/>
      <c r="L93" s="143"/>
      <c r="M93" s="143"/>
      <c r="N93" s="143"/>
      <c r="O93" s="191" t="s">
        <v>514</v>
      </c>
      <c r="Q93" s="143"/>
      <c r="R93" s="143"/>
      <c r="S93" s="143"/>
      <c r="T93" s="143"/>
      <c r="U93" s="143"/>
      <c r="V93" s="143"/>
      <c r="W93" s="143"/>
      <c r="X93" s="143"/>
      <c r="Y93" s="141">
        <v>1.1000000000000001</v>
      </c>
      <c r="Z93" s="11"/>
      <c r="AA93" s="191" t="s">
        <v>514</v>
      </c>
    </row>
    <row r="94" spans="1:27" s="10" customFormat="1" ht="23.25" customHeight="1" x14ac:dyDescent="0.3">
      <c r="A94" s="490"/>
      <c r="B94" s="466"/>
      <c r="C94" s="315"/>
      <c r="D94" s="93" t="s">
        <v>52</v>
      </c>
      <c r="E94" s="137" t="s">
        <v>106</v>
      </c>
      <c r="F94" s="137">
        <v>5</v>
      </c>
      <c r="G94" s="137" t="s">
        <v>32</v>
      </c>
      <c r="H94" s="137">
        <v>12</v>
      </c>
      <c r="I94" s="135">
        <v>15</v>
      </c>
      <c r="J94" s="135">
        <v>30</v>
      </c>
      <c r="K94" s="135"/>
      <c r="L94" s="135"/>
      <c r="M94" s="135">
        <v>15</v>
      </c>
      <c r="N94" s="135"/>
      <c r="O94" s="223" t="s">
        <v>638</v>
      </c>
      <c r="Q94" s="135"/>
      <c r="R94" s="135"/>
      <c r="S94" s="135"/>
      <c r="T94" s="135"/>
      <c r="U94" s="135"/>
      <c r="V94" s="135"/>
      <c r="W94" s="135"/>
      <c r="X94" s="135"/>
      <c r="Y94" s="36">
        <v>2.1</v>
      </c>
      <c r="Z94" s="11"/>
      <c r="AA94" s="223" t="s">
        <v>638</v>
      </c>
    </row>
    <row r="95" spans="1:27" s="10" customFormat="1" ht="26.25" customHeight="1" x14ac:dyDescent="0.2">
      <c r="A95" s="490">
        <v>24</v>
      </c>
      <c r="B95" s="401" t="s">
        <v>144</v>
      </c>
      <c r="C95" s="303"/>
      <c r="D95" s="93" t="s">
        <v>52</v>
      </c>
      <c r="E95" s="142" t="s">
        <v>105</v>
      </c>
      <c r="F95" s="142">
        <v>5</v>
      </c>
      <c r="G95" s="142" t="s">
        <v>35</v>
      </c>
      <c r="H95" s="142">
        <v>18</v>
      </c>
      <c r="I95" s="143"/>
      <c r="J95" s="143">
        <v>45</v>
      </c>
      <c r="K95" s="143"/>
      <c r="L95" s="143"/>
      <c r="M95" s="143">
        <v>15</v>
      </c>
      <c r="N95" s="143"/>
      <c r="O95" s="191" t="s">
        <v>518</v>
      </c>
      <c r="Q95" s="143"/>
      <c r="R95" s="143"/>
      <c r="S95" s="143"/>
      <c r="T95" s="143"/>
      <c r="U95" s="143"/>
      <c r="V95" s="143"/>
      <c r="W95" s="143"/>
      <c r="X95" s="143"/>
      <c r="Y95" s="141">
        <v>2.1</v>
      </c>
      <c r="Z95" s="11"/>
      <c r="AA95" s="191" t="s">
        <v>518</v>
      </c>
    </row>
    <row r="96" spans="1:27" s="10" customFormat="1" ht="26.25" customHeight="1" x14ac:dyDescent="0.2">
      <c r="A96" s="490"/>
      <c r="B96" s="401"/>
      <c r="C96" s="303"/>
      <c r="D96" s="93" t="s">
        <v>52</v>
      </c>
      <c r="E96" s="137" t="s">
        <v>221</v>
      </c>
      <c r="F96" s="137">
        <v>5</v>
      </c>
      <c r="G96" s="137" t="s">
        <v>35</v>
      </c>
      <c r="H96" s="137">
        <v>17</v>
      </c>
      <c r="I96" s="135"/>
      <c r="J96" s="135">
        <v>45</v>
      </c>
      <c r="K96" s="135"/>
      <c r="L96" s="135"/>
      <c r="M96" s="135"/>
      <c r="N96" s="135"/>
      <c r="O96" s="191" t="s">
        <v>508</v>
      </c>
      <c r="Q96" s="135"/>
      <c r="R96" s="135"/>
      <c r="S96" s="135"/>
      <c r="T96" s="135"/>
      <c r="U96" s="135"/>
      <c r="V96" s="135"/>
      <c r="W96" s="135"/>
      <c r="X96" s="135"/>
      <c r="Y96" s="36">
        <v>1.6</v>
      </c>
      <c r="Z96" s="11"/>
      <c r="AA96" s="191" t="s">
        <v>508</v>
      </c>
    </row>
    <row r="97" spans="1:27" s="10" customFormat="1" ht="26.25" customHeight="1" x14ac:dyDescent="0.2">
      <c r="A97" s="490"/>
      <c r="B97" s="401"/>
      <c r="C97" s="303"/>
      <c r="D97" s="145" t="s">
        <v>52</v>
      </c>
      <c r="E97" s="142" t="s">
        <v>106</v>
      </c>
      <c r="F97" s="142">
        <v>5</v>
      </c>
      <c r="G97" s="142" t="s">
        <v>32</v>
      </c>
      <c r="H97" s="142">
        <v>12</v>
      </c>
      <c r="I97" s="143"/>
      <c r="J97" s="143">
        <v>45</v>
      </c>
      <c r="K97" s="143"/>
      <c r="L97" s="143"/>
      <c r="M97" s="143">
        <v>15</v>
      </c>
      <c r="N97" s="143"/>
      <c r="O97" s="191" t="s">
        <v>519</v>
      </c>
      <c r="Q97" s="143"/>
      <c r="R97" s="143"/>
      <c r="S97" s="143"/>
      <c r="T97" s="143"/>
      <c r="U97" s="143"/>
      <c r="V97" s="143"/>
      <c r="W97" s="143"/>
      <c r="X97" s="143"/>
      <c r="Y97" s="141">
        <v>2.1</v>
      </c>
      <c r="Z97" s="11"/>
      <c r="AA97" s="191" t="s">
        <v>519</v>
      </c>
    </row>
    <row r="98" spans="1:27" s="10" customFormat="1" ht="26.25" customHeight="1" x14ac:dyDescent="0.2">
      <c r="A98" s="490">
        <v>25</v>
      </c>
      <c r="B98" s="401" t="s">
        <v>219</v>
      </c>
      <c r="C98" s="303"/>
      <c r="D98" s="145" t="s">
        <v>52</v>
      </c>
      <c r="E98" s="142" t="s">
        <v>129</v>
      </c>
      <c r="F98" s="142">
        <v>5</v>
      </c>
      <c r="G98" s="142" t="s">
        <v>35</v>
      </c>
      <c r="H98" s="142">
        <v>27</v>
      </c>
      <c r="I98" s="143">
        <v>15</v>
      </c>
      <c r="J98" s="143">
        <v>30</v>
      </c>
      <c r="K98" s="143"/>
      <c r="L98" s="143"/>
      <c r="M98" s="143">
        <v>15</v>
      </c>
      <c r="N98" s="143"/>
      <c r="O98" s="191" t="s">
        <v>517</v>
      </c>
      <c r="Q98" s="143"/>
      <c r="R98" s="143"/>
      <c r="S98" s="143"/>
      <c r="T98" s="143"/>
      <c r="U98" s="143"/>
      <c r="V98" s="143"/>
      <c r="W98" s="143"/>
      <c r="X98" s="143"/>
      <c r="Y98" s="141">
        <v>2.1</v>
      </c>
      <c r="Z98" s="11"/>
      <c r="AA98" s="191" t="s">
        <v>521</v>
      </c>
    </row>
    <row r="99" spans="1:27" s="10" customFormat="1" ht="26.25" customHeight="1" x14ac:dyDescent="0.2">
      <c r="A99" s="490"/>
      <c r="B99" s="401"/>
      <c r="C99" s="303"/>
      <c r="D99" s="145" t="s">
        <v>52</v>
      </c>
      <c r="E99" s="142" t="s">
        <v>130</v>
      </c>
      <c r="F99" s="142">
        <v>5</v>
      </c>
      <c r="G99" s="142" t="s">
        <v>32</v>
      </c>
      <c r="H99" s="142">
        <v>25</v>
      </c>
      <c r="I99" s="143">
        <v>15</v>
      </c>
      <c r="J99" s="143">
        <v>30</v>
      </c>
      <c r="K99" s="143"/>
      <c r="L99" s="143"/>
      <c r="M99" s="143">
        <v>15</v>
      </c>
      <c r="N99" s="143"/>
      <c r="O99" s="191" t="s">
        <v>517</v>
      </c>
      <c r="Q99" s="143"/>
      <c r="R99" s="143"/>
      <c r="S99" s="143"/>
      <c r="T99" s="143"/>
      <c r="U99" s="143"/>
      <c r="V99" s="143"/>
      <c r="W99" s="143"/>
      <c r="X99" s="143"/>
      <c r="Y99" s="141">
        <v>2.1</v>
      </c>
      <c r="Z99" s="11"/>
      <c r="AA99" s="191" t="s">
        <v>669</v>
      </c>
    </row>
    <row r="100" spans="1:27" s="10" customFormat="1" ht="26.25" customHeight="1" x14ac:dyDescent="0.2">
      <c r="A100" s="490">
        <v>26</v>
      </c>
      <c r="B100" s="401" t="s">
        <v>217</v>
      </c>
      <c r="C100" s="303"/>
      <c r="D100" s="145" t="s">
        <v>52</v>
      </c>
      <c r="E100" s="142" t="s">
        <v>129</v>
      </c>
      <c r="F100" s="142">
        <v>5</v>
      </c>
      <c r="G100" s="142" t="s">
        <v>35</v>
      </c>
      <c r="H100" s="142">
        <v>27</v>
      </c>
      <c r="I100" s="142"/>
      <c r="J100" s="143">
        <v>45</v>
      </c>
      <c r="K100" s="143"/>
      <c r="L100" s="143"/>
      <c r="M100" s="143">
        <v>15</v>
      </c>
      <c r="N100" s="143"/>
      <c r="O100" s="191" t="s">
        <v>521</v>
      </c>
      <c r="Q100" s="143"/>
      <c r="R100" s="143"/>
      <c r="S100" s="143"/>
      <c r="T100" s="143"/>
      <c r="U100" s="143"/>
      <c r="V100" s="143"/>
      <c r="W100" s="143"/>
      <c r="X100" s="146"/>
      <c r="Y100" s="141">
        <v>2.1</v>
      </c>
      <c r="Z100" s="11"/>
      <c r="AA100" s="191" t="s">
        <v>521</v>
      </c>
    </row>
    <row r="101" spans="1:27" s="10" customFormat="1" ht="26.25" customHeight="1" x14ac:dyDescent="0.2">
      <c r="A101" s="490"/>
      <c r="B101" s="401"/>
      <c r="C101" s="303"/>
      <c r="D101" s="93" t="s">
        <v>52</v>
      </c>
      <c r="E101" s="142" t="s">
        <v>130</v>
      </c>
      <c r="F101" s="142">
        <v>5</v>
      </c>
      <c r="G101" s="142" t="s">
        <v>32</v>
      </c>
      <c r="H101" s="142">
        <v>25</v>
      </c>
      <c r="I101" s="142"/>
      <c r="J101" s="143">
        <v>45</v>
      </c>
      <c r="K101" s="143"/>
      <c r="L101" s="143"/>
      <c r="M101" s="143">
        <v>15</v>
      </c>
      <c r="N101" s="143"/>
      <c r="O101" s="191" t="s">
        <v>516</v>
      </c>
      <c r="Q101" s="143"/>
      <c r="R101" s="143"/>
      <c r="S101" s="143"/>
      <c r="T101" s="143"/>
      <c r="U101" s="143"/>
      <c r="V101" s="143"/>
      <c r="W101" s="143"/>
      <c r="X101" s="146"/>
      <c r="Y101" s="141">
        <v>2.1</v>
      </c>
      <c r="Z101" s="11"/>
      <c r="AA101" s="191" t="s">
        <v>516</v>
      </c>
    </row>
    <row r="102" spans="1:27" s="10" customFormat="1" ht="26.25" customHeight="1" x14ac:dyDescent="0.2">
      <c r="A102" s="490">
        <v>27</v>
      </c>
      <c r="B102" s="401" t="s">
        <v>216</v>
      </c>
      <c r="C102" s="303"/>
      <c r="D102" s="93" t="s">
        <v>52</v>
      </c>
      <c r="E102" s="137" t="s">
        <v>129</v>
      </c>
      <c r="F102" s="137">
        <v>5</v>
      </c>
      <c r="G102" s="137" t="s">
        <v>35</v>
      </c>
      <c r="H102" s="137">
        <v>27</v>
      </c>
      <c r="I102" s="137"/>
      <c r="J102" s="135">
        <v>45</v>
      </c>
      <c r="K102" s="135"/>
      <c r="L102" s="135"/>
      <c r="M102" s="135">
        <v>15</v>
      </c>
      <c r="N102" s="135"/>
      <c r="O102" s="191" t="s">
        <v>497</v>
      </c>
      <c r="Q102" s="135"/>
      <c r="R102" s="135"/>
      <c r="S102" s="135"/>
      <c r="T102" s="135"/>
      <c r="U102" s="135"/>
      <c r="V102" s="135"/>
      <c r="W102" s="135"/>
      <c r="X102" s="74"/>
      <c r="Y102" s="36">
        <v>2.1</v>
      </c>
      <c r="Z102" s="11"/>
      <c r="AA102" s="191" t="s">
        <v>497</v>
      </c>
    </row>
    <row r="103" spans="1:27" s="10" customFormat="1" ht="26.25" customHeight="1" x14ac:dyDescent="0.2">
      <c r="A103" s="490"/>
      <c r="B103" s="401"/>
      <c r="C103" s="303"/>
      <c r="D103" s="145" t="s">
        <v>52</v>
      </c>
      <c r="E103" s="142" t="s">
        <v>130</v>
      </c>
      <c r="F103" s="142">
        <v>5</v>
      </c>
      <c r="G103" s="142" t="s">
        <v>32</v>
      </c>
      <c r="H103" s="142">
        <v>25</v>
      </c>
      <c r="I103" s="142"/>
      <c r="J103" s="143">
        <v>45</v>
      </c>
      <c r="K103" s="143"/>
      <c r="L103" s="143"/>
      <c r="M103" s="143">
        <v>15</v>
      </c>
      <c r="N103" s="143"/>
      <c r="O103" s="191" t="s">
        <v>516</v>
      </c>
      <c r="Q103" s="143"/>
      <c r="R103" s="143"/>
      <c r="S103" s="143"/>
      <c r="T103" s="143"/>
      <c r="U103" s="143"/>
      <c r="V103" s="143"/>
      <c r="W103" s="143"/>
      <c r="X103" s="146"/>
      <c r="Y103" s="141">
        <v>2.1</v>
      </c>
      <c r="Z103" s="11"/>
      <c r="AA103" s="191" t="s">
        <v>516</v>
      </c>
    </row>
    <row r="104" spans="1:27" s="10" customFormat="1" ht="26.25" customHeight="1" x14ac:dyDescent="0.2">
      <c r="A104" s="491">
        <v>28</v>
      </c>
      <c r="B104" s="402" t="s">
        <v>652</v>
      </c>
      <c r="C104" s="402" t="s">
        <v>663</v>
      </c>
      <c r="D104" s="145" t="s">
        <v>41</v>
      </c>
      <c r="E104" s="143" t="s">
        <v>318</v>
      </c>
      <c r="F104" s="142">
        <v>5</v>
      </c>
      <c r="G104" s="142" t="s">
        <v>35</v>
      </c>
      <c r="H104" s="142">
        <v>1</v>
      </c>
      <c r="I104" s="143">
        <v>30</v>
      </c>
      <c r="J104" s="143">
        <v>15</v>
      </c>
      <c r="K104" s="143"/>
      <c r="L104" s="143"/>
      <c r="M104" s="143">
        <v>15</v>
      </c>
      <c r="N104" s="143"/>
      <c r="O104" s="15" t="s">
        <v>499</v>
      </c>
      <c r="Q104" s="143"/>
      <c r="R104" s="143"/>
      <c r="S104" s="143"/>
      <c r="T104" s="143"/>
      <c r="U104" s="143"/>
      <c r="V104" s="143"/>
      <c r="W104" s="143"/>
      <c r="X104" s="143"/>
      <c r="Y104" s="141">
        <v>1.05</v>
      </c>
      <c r="Z104" s="11"/>
      <c r="AA104" s="15" t="s">
        <v>499</v>
      </c>
    </row>
    <row r="105" spans="1:27" s="10" customFormat="1" ht="26.25" customHeight="1" x14ac:dyDescent="0.2">
      <c r="A105" s="492"/>
      <c r="B105" s="493"/>
      <c r="C105" s="493"/>
      <c r="D105" s="93" t="s">
        <v>41</v>
      </c>
      <c r="E105" s="135" t="s">
        <v>317</v>
      </c>
      <c r="F105" s="135">
        <v>5</v>
      </c>
      <c r="G105" s="135" t="s">
        <v>32</v>
      </c>
      <c r="H105" s="135">
        <v>4</v>
      </c>
      <c r="I105" s="135">
        <v>30</v>
      </c>
      <c r="J105" s="135">
        <v>15</v>
      </c>
      <c r="K105" s="135"/>
      <c r="L105" s="135"/>
      <c r="M105" s="135">
        <v>15</v>
      </c>
      <c r="N105" s="135"/>
      <c r="O105" s="191" t="s">
        <v>522</v>
      </c>
      <c r="Q105" s="135"/>
      <c r="R105" s="135"/>
      <c r="S105" s="135"/>
      <c r="T105" s="135"/>
      <c r="U105" s="135"/>
      <c r="V105" s="135"/>
      <c r="W105" s="135"/>
      <c r="X105" s="135"/>
      <c r="Y105" s="36">
        <v>1.05</v>
      </c>
      <c r="Z105" s="11"/>
      <c r="AA105" s="191" t="s">
        <v>522</v>
      </c>
    </row>
    <row r="106" spans="1:27" s="17" customFormat="1" ht="26.25" customHeight="1" x14ac:dyDescent="0.3">
      <c r="A106" s="490">
        <v>29</v>
      </c>
      <c r="B106" s="488" t="s">
        <v>53</v>
      </c>
      <c r="C106" s="312"/>
      <c r="D106" s="145" t="s">
        <v>41</v>
      </c>
      <c r="E106" s="143" t="s">
        <v>190</v>
      </c>
      <c r="F106" s="142">
        <v>5</v>
      </c>
      <c r="G106" s="142" t="s">
        <v>35</v>
      </c>
      <c r="H106" s="142">
        <v>8</v>
      </c>
      <c r="I106" s="142">
        <v>15</v>
      </c>
      <c r="J106" s="143">
        <v>30</v>
      </c>
      <c r="K106" s="143"/>
      <c r="L106" s="143"/>
      <c r="M106" s="143">
        <v>15</v>
      </c>
      <c r="N106" s="143"/>
      <c r="O106" s="15" t="s">
        <v>499</v>
      </c>
      <c r="Q106" s="143"/>
      <c r="R106" s="143"/>
      <c r="S106" s="143"/>
      <c r="T106" s="143"/>
      <c r="U106" s="143"/>
      <c r="V106" s="143"/>
      <c r="W106" s="143"/>
      <c r="X106" s="144"/>
      <c r="Y106" s="141">
        <v>2.1</v>
      </c>
      <c r="Z106" s="1"/>
      <c r="AA106" s="15" t="s">
        <v>499</v>
      </c>
    </row>
    <row r="107" spans="1:27" s="17" customFormat="1" ht="26.25" customHeight="1" x14ac:dyDescent="0.3">
      <c r="A107" s="490"/>
      <c r="B107" s="488"/>
      <c r="C107" s="312"/>
      <c r="D107" s="145" t="s">
        <v>41</v>
      </c>
      <c r="E107" s="143" t="s">
        <v>230</v>
      </c>
      <c r="F107" s="143">
        <v>5</v>
      </c>
      <c r="G107" s="143" t="s">
        <v>32</v>
      </c>
      <c r="H107" s="143">
        <v>10</v>
      </c>
      <c r="I107" s="142">
        <v>15</v>
      </c>
      <c r="J107" s="143">
        <v>30</v>
      </c>
      <c r="K107" s="143"/>
      <c r="L107" s="143"/>
      <c r="M107" s="143">
        <v>15</v>
      </c>
      <c r="N107" s="143"/>
      <c r="O107" s="15" t="s">
        <v>511</v>
      </c>
      <c r="Q107" s="143"/>
      <c r="R107" s="143"/>
      <c r="S107" s="143"/>
      <c r="T107" s="143"/>
      <c r="U107" s="143"/>
      <c r="V107" s="143"/>
      <c r="W107" s="143"/>
      <c r="X107" s="144"/>
      <c r="Y107" s="141">
        <v>2.1</v>
      </c>
      <c r="Z107" s="1"/>
      <c r="AA107" s="15" t="s">
        <v>511</v>
      </c>
    </row>
    <row r="108" spans="1:27" s="17" customFormat="1" ht="26.25" customHeight="1" x14ac:dyDescent="0.3">
      <c r="A108" s="490">
        <v>30</v>
      </c>
      <c r="B108" s="489" t="s">
        <v>231</v>
      </c>
      <c r="C108" s="314"/>
      <c r="D108" s="145" t="s">
        <v>41</v>
      </c>
      <c r="E108" s="143" t="s">
        <v>190</v>
      </c>
      <c r="F108" s="142">
        <v>5</v>
      </c>
      <c r="G108" s="142" t="s">
        <v>35</v>
      </c>
      <c r="H108" s="142">
        <v>8</v>
      </c>
      <c r="I108" s="142">
        <v>15</v>
      </c>
      <c r="J108" s="143">
        <v>30</v>
      </c>
      <c r="K108" s="143"/>
      <c r="L108" s="143"/>
      <c r="M108" s="143">
        <v>15</v>
      </c>
      <c r="N108" s="143"/>
      <c r="O108" s="15" t="s">
        <v>501</v>
      </c>
      <c r="Q108" s="143"/>
      <c r="R108" s="143"/>
      <c r="S108" s="143"/>
      <c r="T108" s="143"/>
      <c r="U108" s="143"/>
      <c r="V108" s="143"/>
      <c r="W108" s="143"/>
      <c r="X108" s="144"/>
      <c r="Y108" s="141">
        <v>2.1</v>
      </c>
      <c r="Z108" s="1"/>
      <c r="AA108" s="15" t="s">
        <v>501</v>
      </c>
    </row>
    <row r="109" spans="1:27" s="17" customFormat="1" ht="26.25" customHeight="1" x14ac:dyDescent="0.3">
      <c r="A109" s="490"/>
      <c r="B109" s="489"/>
      <c r="C109" s="314"/>
      <c r="D109" s="145" t="s">
        <v>41</v>
      </c>
      <c r="E109" s="143" t="s">
        <v>230</v>
      </c>
      <c r="F109" s="143">
        <v>5</v>
      </c>
      <c r="G109" s="143" t="s">
        <v>32</v>
      </c>
      <c r="H109" s="143">
        <v>10</v>
      </c>
      <c r="I109" s="142">
        <v>15</v>
      </c>
      <c r="J109" s="143">
        <v>30</v>
      </c>
      <c r="K109" s="143"/>
      <c r="L109" s="143"/>
      <c r="M109" s="143">
        <v>15</v>
      </c>
      <c r="N109" s="143"/>
      <c r="O109" s="15" t="s">
        <v>501</v>
      </c>
      <c r="Q109" s="143"/>
      <c r="R109" s="143"/>
      <c r="S109" s="143"/>
      <c r="T109" s="143"/>
      <c r="U109" s="143"/>
      <c r="V109" s="143"/>
      <c r="W109" s="143"/>
      <c r="X109" s="144"/>
      <c r="Y109" s="141">
        <v>2.1</v>
      </c>
      <c r="Z109" s="1"/>
      <c r="AA109" s="15" t="s">
        <v>501</v>
      </c>
    </row>
    <row r="110" spans="1:27" s="17" customFormat="1" ht="26.25" customHeight="1" x14ac:dyDescent="0.3">
      <c r="A110" s="490">
        <v>31</v>
      </c>
      <c r="B110" s="489" t="s">
        <v>232</v>
      </c>
      <c r="C110" s="314"/>
      <c r="D110" s="145" t="s">
        <v>41</v>
      </c>
      <c r="E110" s="143" t="s">
        <v>190</v>
      </c>
      <c r="F110" s="142">
        <v>5</v>
      </c>
      <c r="G110" s="142" t="s">
        <v>35</v>
      </c>
      <c r="H110" s="142">
        <v>8</v>
      </c>
      <c r="I110" s="142">
        <v>15</v>
      </c>
      <c r="J110" s="143">
        <v>30</v>
      </c>
      <c r="K110" s="143"/>
      <c r="L110" s="143"/>
      <c r="M110" s="143">
        <v>15</v>
      </c>
      <c r="N110" s="143"/>
      <c r="O110" s="15" t="s">
        <v>499</v>
      </c>
      <c r="Q110" s="143"/>
      <c r="R110" s="143"/>
      <c r="S110" s="143"/>
      <c r="T110" s="143"/>
      <c r="U110" s="143"/>
      <c r="V110" s="143"/>
      <c r="W110" s="143"/>
      <c r="X110" s="144"/>
      <c r="Y110" s="141">
        <v>2.1</v>
      </c>
      <c r="Z110" s="1"/>
      <c r="AA110" s="15" t="s">
        <v>499</v>
      </c>
    </row>
    <row r="111" spans="1:27" s="17" customFormat="1" ht="26.25" customHeight="1" x14ac:dyDescent="0.3">
      <c r="A111" s="490"/>
      <c r="B111" s="489"/>
      <c r="C111" s="314"/>
      <c r="D111" s="145" t="s">
        <v>41</v>
      </c>
      <c r="E111" s="143" t="s">
        <v>230</v>
      </c>
      <c r="F111" s="143">
        <v>5</v>
      </c>
      <c r="G111" s="143" t="s">
        <v>32</v>
      </c>
      <c r="H111" s="143">
        <v>10</v>
      </c>
      <c r="I111" s="142">
        <v>15</v>
      </c>
      <c r="J111" s="143">
        <v>30</v>
      </c>
      <c r="K111" s="143"/>
      <c r="L111" s="143"/>
      <c r="M111" s="143">
        <v>15</v>
      </c>
      <c r="N111" s="143"/>
      <c r="O111" s="15" t="s">
        <v>499</v>
      </c>
      <c r="Q111" s="143"/>
      <c r="R111" s="143"/>
      <c r="S111" s="143"/>
      <c r="T111" s="143"/>
      <c r="U111" s="143"/>
      <c r="V111" s="143"/>
      <c r="W111" s="143"/>
      <c r="X111" s="144"/>
      <c r="Y111" s="141">
        <v>2.1</v>
      </c>
      <c r="Z111" s="1"/>
      <c r="AA111" s="15" t="s">
        <v>499</v>
      </c>
    </row>
    <row r="112" spans="1:27" s="17" customFormat="1" ht="26.25" customHeight="1" x14ac:dyDescent="0.3">
      <c r="A112" s="490">
        <v>34</v>
      </c>
      <c r="B112" s="401" t="s">
        <v>233</v>
      </c>
      <c r="C112" s="303"/>
      <c r="D112" s="145" t="s">
        <v>41</v>
      </c>
      <c r="E112" s="143" t="s">
        <v>190</v>
      </c>
      <c r="F112" s="142">
        <v>5</v>
      </c>
      <c r="G112" s="142" t="s">
        <v>35</v>
      </c>
      <c r="H112" s="142">
        <v>8</v>
      </c>
      <c r="I112" s="142">
        <v>15</v>
      </c>
      <c r="J112" s="143">
        <v>30</v>
      </c>
      <c r="K112" s="143"/>
      <c r="L112" s="143"/>
      <c r="M112" s="143">
        <v>15</v>
      </c>
      <c r="N112" s="143"/>
      <c r="O112" s="15" t="s">
        <v>499</v>
      </c>
      <c r="Q112" s="143"/>
      <c r="R112" s="143"/>
      <c r="S112" s="143"/>
      <c r="T112" s="143"/>
      <c r="U112" s="143"/>
      <c r="V112" s="143"/>
      <c r="W112" s="143"/>
      <c r="X112" s="144"/>
      <c r="Y112" s="141">
        <v>2.1</v>
      </c>
      <c r="Z112" s="1"/>
      <c r="AA112" s="15" t="s">
        <v>499</v>
      </c>
    </row>
    <row r="113" spans="1:27" s="17" customFormat="1" ht="26.25" customHeight="1" x14ac:dyDescent="0.3">
      <c r="A113" s="490"/>
      <c r="B113" s="401"/>
      <c r="C113" s="303"/>
      <c r="D113" s="145" t="s">
        <v>41</v>
      </c>
      <c r="E113" s="143" t="s">
        <v>230</v>
      </c>
      <c r="F113" s="143">
        <v>5</v>
      </c>
      <c r="G113" s="143" t="s">
        <v>32</v>
      </c>
      <c r="H113" s="143">
        <v>10</v>
      </c>
      <c r="I113" s="142">
        <v>15</v>
      </c>
      <c r="J113" s="143">
        <v>30</v>
      </c>
      <c r="K113" s="143"/>
      <c r="L113" s="143"/>
      <c r="M113" s="143">
        <v>15</v>
      </c>
      <c r="N113" s="143"/>
      <c r="O113" s="15" t="s">
        <v>511</v>
      </c>
      <c r="Q113" s="143"/>
      <c r="R113" s="143"/>
      <c r="S113" s="143"/>
      <c r="T113" s="143"/>
      <c r="U113" s="143"/>
      <c r="V113" s="143"/>
      <c r="W113" s="143"/>
      <c r="X113" s="144"/>
      <c r="Y113" s="141">
        <v>2.1</v>
      </c>
      <c r="Z113" s="1"/>
      <c r="AA113" s="15" t="s">
        <v>511</v>
      </c>
    </row>
    <row r="114" spans="1:27" s="17" customFormat="1" ht="26.25" customHeight="1" x14ac:dyDescent="0.3">
      <c r="A114" s="491">
        <v>35</v>
      </c>
      <c r="B114" s="401" t="s">
        <v>78</v>
      </c>
      <c r="C114" s="303"/>
      <c r="D114" s="93" t="s">
        <v>41</v>
      </c>
      <c r="E114" s="143" t="s">
        <v>190</v>
      </c>
      <c r="F114" s="142">
        <v>5</v>
      </c>
      <c r="G114" s="142" t="s">
        <v>35</v>
      </c>
      <c r="H114" s="142">
        <v>8</v>
      </c>
      <c r="I114" s="142">
        <v>15</v>
      </c>
      <c r="J114" s="143">
        <v>30</v>
      </c>
      <c r="K114" s="143"/>
      <c r="L114" s="143"/>
      <c r="M114" s="143">
        <v>15</v>
      </c>
      <c r="N114" s="143"/>
      <c r="O114" s="15" t="s">
        <v>502</v>
      </c>
      <c r="Q114" s="143"/>
      <c r="R114" s="143"/>
      <c r="S114" s="143"/>
      <c r="T114" s="143"/>
      <c r="U114" s="143"/>
      <c r="V114" s="143"/>
      <c r="W114" s="143"/>
      <c r="X114" s="144"/>
      <c r="Y114" s="141">
        <v>2.1</v>
      </c>
      <c r="Z114" s="1"/>
      <c r="AA114" s="15" t="s">
        <v>502</v>
      </c>
    </row>
    <row r="115" spans="1:27" s="17" customFormat="1" ht="26.25" customHeight="1" x14ac:dyDescent="0.3">
      <c r="A115" s="492"/>
      <c r="B115" s="401"/>
      <c r="C115" s="303"/>
      <c r="D115" s="145" t="s">
        <v>41</v>
      </c>
      <c r="E115" s="143" t="s">
        <v>230</v>
      </c>
      <c r="F115" s="143">
        <v>5</v>
      </c>
      <c r="G115" s="143" t="s">
        <v>32</v>
      </c>
      <c r="H115" s="143">
        <v>10</v>
      </c>
      <c r="I115" s="142">
        <v>15</v>
      </c>
      <c r="J115" s="143">
        <v>30</v>
      </c>
      <c r="K115" s="143"/>
      <c r="L115" s="143"/>
      <c r="M115" s="143">
        <v>15</v>
      </c>
      <c r="N115" s="143"/>
      <c r="O115" s="15" t="s">
        <v>499</v>
      </c>
      <c r="Q115" s="143"/>
      <c r="R115" s="143"/>
      <c r="S115" s="143"/>
      <c r="T115" s="143"/>
      <c r="U115" s="143"/>
      <c r="V115" s="143"/>
      <c r="W115" s="143"/>
      <c r="X115" s="144"/>
      <c r="Y115" s="141">
        <v>2.1</v>
      </c>
      <c r="Z115" s="1"/>
      <c r="AA115" s="15" t="s">
        <v>499</v>
      </c>
    </row>
    <row r="116" spans="1:27" s="17" customFormat="1" ht="26.25" customHeight="1" x14ac:dyDescent="0.3">
      <c r="A116" s="491">
        <v>36</v>
      </c>
      <c r="B116" s="474" t="s">
        <v>234</v>
      </c>
      <c r="C116" s="304"/>
      <c r="D116" s="145" t="s">
        <v>41</v>
      </c>
      <c r="E116" s="143" t="s">
        <v>190</v>
      </c>
      <c r="F116" s="142">
        <v>5</v>
      </c>
      <c r="G116" s="142" t="s">
        <v>35</v>
      </c>
      <c r="H116" s="142">
        <v>8</v>
      </c>
      <c r="I116" s="142">
        <v>15</v>
      </c>
      <c r="J116" s="143">
        <v>30</v>
      </c>
      <c r="K116" s="143"/>
      <c r="L116" s="143"/>
      <c r="M116" s="143">
        <v>15</v>
      </c>
      <c r="N116" s="143"/>
      <c r="O116" s="15" t="s">
        <v>501</v>
      </c>
      <c r="Q116" s="143"/>
      <c r="R116" s="143"/>
      <c r="S116" s="143"/>
      <c r="T116" s="143"/>
      <c r="U116" s="143"/>
      <c r="V116" s="143"/>
      <c r="W116" s="143"/>
      <c r="X116" s="144"/>
      <c r="Y116" s="141">
        <v>2.1</v>
      </c>
      <c r="Z116" s="1"/>
      <c r="AA116" s="15" t="s">
        <v>501</v>
      </c>
    </row>
    <row r="117" spans="1:27" s="17" customFormat="1" ht="26.25" customHeight="1" x14ac:dyDescent="0.3">
      <c r="A117" s="492"/>
      <c r="B117" s="475"/>
      <c r="C117" s="313"/>
      <c r="D117" s="93" t="s">
        <v>41</v>
      </c>
      <c r="E117" s="135" t="s">
        <v>230</v>
      </c>
      <c r="F117" s="135">
        <v>5</v>
      </c>
      <c r="G117" s="135" t="s">
        <v>32</v>
      </c>
      <c r="H117" s="135">
        <v>10</v>
      </c>
      <c r="I117" s="137">
        <v>15</v>
      </c>
      <c r="J117" s="135">
        <v>30</v>
      </c>
      <c r="K117" s="135"/>
      <c r="L117" s="135"/>
      <c r="M117" s="135">
        <v>15</v>
      </c>
      <c r="N117" s="135"/>
      <c r="O117" s="15" t="s">
        <v>522</v>
      </c>
      <c r="Q117" s="135"/>
      <c r="R117" s="135"/>
      <c r="S117" s="135"/>
      <c r="T117" s="135"/>
      <c r="U117" s="135"/>
      <c r="V117" s="135"/>
      <c r="W117" s="135"/>
      <c r="X117" s="42"/>
      <c r="Y117" s="36">
        <v>2.1</v>
      </c>
      <c r="Z117" s="1"/>
      <c r="AA117" s="15" t="s">
        <v>522</v>
      </c>
    </row>
    <row r="118" spans="1:27" s="17" customFormat="1" ht="26.25" customHeight="1" x14ac:dyDescent="0.2">
      <c r="A118" s="132">
        <v>37</v>
      </c>
      <c r="B118" s="139" t="s">
        <v>256</v>
      </c>
      <c r="C118" s="309"/>
      <c r="D118" s="93" t="s">
        <v>41</v>
      </c>
      <c r="E118" s="135" t="s">
        <v>168</v>
      </c>
      <c r="F118" s="137">
        <v>5</v>
      </c>
      <c r="G118" s="135" t="s">
        <v>32</v>
      </c>
      <c r="H118" s="135">
        <v>10</v>
      </c>
      <c r="I118" s="137">
        <v>15</v>
      </c>
      <c r="J118" s="135">
        <v>30</v>
      </c>
      <c r="K118" s="135"/>
      <c r="L118" s="135"/>
      <c r="M118" s="135">
        <v>15</v>
      </c>
      <c r="N118" s="135"/>
      <c r="O118" s="193" t="s">
        <v>619</v>
      </c>
      <c r="Q118" s="135"/>
      <c r="R118" s="135"/>
      <c r="S118" s="135"/>
      <c r="T118" s="135"/>
      <c r="U118" s="135"/>
      <c r="V118" s="135"/>
      <c r="W118" s="135"/>
      <c r="X118" s="135"/>
      <c r="Y118" s="36">
        <v>2.1</v>
      </c>
      <c r="Z118" s="1"/>
      <c r="AA118" s="223" t="s">
        <v>648</v>
      </c>
    </row>
    <row r="119" spans="1:27" s="17" customFormat="1" ht="42" customHeight="1" x14ac:dyDescent="0.2">
      <c r="A119" s="132">
        <v>38</v>
      </c>
      <c r="B119" s="134" t="s">
        <v>254</v>
      </c>
      <c r="C119" s="303"/>
      <c r="D119" s="145" t="s">
        <v>41</v>
      </c>
      <c r="E119" s="143" t="s">
        <v>168</v>
      </c>
      <c r="F119" s="142">
        <v>5</v>
      </c>
      <c r="G119" s="143" t="s">
        <v>32</v>
      </c>
      <c r="H119" s="143">
        <v>10</v>
      </c>
      <c r="I119" s="142">
        <v>15</v>
      </c>
      <c r="J119" s="143">
        <v>30</v>
      </c>
      <c r="K119" s="143"/>
      <c r="L119" s="143"/>
      <c r="M119" s="143">
        <v>15</v>
      </c>
      <c r="N119" s="143"/>
      <c r="O119" s="15" t="s">
        <v>511</v>
      </c>
      <c r="Q119" s="143"/>
      <c r="R119" s="143"/>
      <c r="S119" s="143"/>
      <c r="T119" s="143"/>
      <c r="U119" s="143"/>
      <c r="V119" s="143"/>
      <c r="W119" s="143"/>
      <c r="X119" s="143"/>
      <c r="Y119" s="141">
        <v>2.1</v>
      </c>
      <c r="Z119" s="1"/>
      <c r="AA119" s="15" t="s">
        <v>511</v>
      </c>
    </row>
    <row r="120" spans="1:27" s="17" customFormat="1" ht="42" customHeight="1" thickBot="1" x14ac:dyDescent="0.25">
      <c r="A120" s="132">
        <v>39</v>
      </c>
      <c r="B120" s="134" t="s">
        <v>255</v>
      </c>
      <c r="C120" s="303"/>
      <c r="D120" s="145" t="s">
        <v>41</v>
      </c>
      <c r="E120" s="143" t="s">
        <v>168</v>
      </c>
      <c r="F120" s="142">
        <v>5</v>
      </c>
      <c r="G120" s="143" t="s">
        <v>32</v>
      </c>
      <c r="H120" s="143">
        <v>10</v>
      </c>
      <c r="I120" s="142">
        <v>15</v>
      </c>
      <c r="J120" s="143">
        <v>30</v>
      </c>
      <c r="K120" s="143"/>
      <c r="L120" s="143"/>
      <c r="M120" s="143">
        <v>15</v>
      </c>
      <c r="N120" s="143"/>
      <c r="O120" s="15" t="s">
        <v>511</v>
      </c>
      <c r="Q120" s="143"/>
      <c r="R120" s="143"/>
      <c r="S120" s="143"/>
      <c r="T120" s="143"/>
      <c r="U120" s="143"/>
      <c r="V120" s="143"/>
      <c r="W120" s="143"/>
      <c r="X120" s="143"/>
      <c r="Y120" s="141">
        <v>2.1</v>
      </c>
      <c r="Z120" s="1"/>
      <c r="AA120" s="15" t="s">
        <v>511</v>
      </c>
    </row>
    <row r="121" spans="1:27" s="71" customFormat="1" ht="28.5" customHeight="1" thickBot="1" x14ac:dyDescent="0.25">
      <c r="A121" s="486" t="s">
        <v>33</v>
      </c>
      <c r="B121" s="487"/>
      <c r="C121" s="487"/>
      <c r="D121" s="487"/>
      <c r="E121" s="487"/>
      <c r="F121" s="487"/>
      <c r="G121" s="487"/>
      <c r="H121" s="487"/>
      <c r="I121" s="157">
        <f t="shared" ref="I121:Y121" si="0">SUM(I12:I120)</f>
        <v>690</v>
      </c>
      <c r="J121" s="157">
        <f t="shared" si="0"/>
        <v>3251</v>
      </c>
      <c r="K121" s="157">
        <f t="shared" si="0"/>
        <v>91</v>
      </c>
      <c r="L121" s="157">
        <f t="shared" si="0"/>
        <v>0</v>
      </c>
      <c r="M121" s="157">
        <f t="shared" si="0"/>
        <v>794</v>
      </c>
      <c r="N121" s="157">
        <f t="shared" si="0"/>
        <v>0</v>
      </c>
      <c r="O121" s="157">
        <f t="shared" si="0"/>
        <v>0</v>
      </c>
      <c r="P121" s="157">
        <f t="shared" si="0"/>
        <v>0</v>
      </c>
      <c r="Q121" s="157">
        <f t="shared" si="0"/>
        <v>0</v>
      </c>
      <c r="R121" s="157">
        <f t="shared" si="0"/>
        <v>0</v>
      </c>
      <c r="S121" s="157">
        <f t="shared" si="0"/>
        <v>0</v>
      </c>
      <c r="T121" s="157">
        <f t="shared" si="0"/>
        <v>0</v>
      </c>
      <c r="U121" s="157">
        <f t="shared" si="0"/>
        <v>0</v>
      </c>
      <c r="V121" s="157">
        <f t="shared" si="0"/>
        <v>0</v>
      </c>
      <c r="W121" s="157">
        <f t="shared" si="0"/>
        <v>0</v>
      </c>
      <c r="X121" s="157">
        <f t="shared" si="0"/>
        <v>0</v>
      </c>
      <c r="Y121" s="158">
        <f t="shared" si="0"/>
        <v>165.69999999999982</v>
      </c>
    </row>
    <row r="122" spans="1:27" s="71" customFormat="1" ht="36" customHeight="1" thickBot="1" x14ac:dyDescent="0.25">
      <c r="A122" s="477" t="s">
        <v>31</v>
      </c>
      <c r="B122" s="478"/>
      <c r="C122" s="478"/>
      <c r="D122" s="478"/>
      <c r="E122" s="478"/>
      <c r="F122" s="478"/>
      <c r="G122" s="478"/>
      <c r="H122" s="478"/>
      <c r="I122" s="153" t="e">
        <f>I121+#REF!</f>
        <v>#REF!</v>
      </c>
      <c r="J122" s="153" t="e">
        <f>J121+#REF!</f>
        <v>#REF!</v>
      </c>
      <c r="K122" s="153" t="e">
        <f>K121+#REF!</f>
        <v>#REF!</v>
      </c>
      <c r="L122" s="153" t="e">
        <f>L121+#REF!</f>
        <v>#REF!</v>
      </c>
      <c r="M122" s="153" t="e">
        <f>M121+#REF!</f>
        <v>#REF!</v>
      </c>
      <c r="N122" s="153" t="e">
        <f>N121+#REF!</f>
        <v>#REF!</v>
      </c>
      <c r="O122" s="153" t="e">
        <f>O121+#REF!</f>
        <v>#REF!</v>
      </c>
      <c r="P122" s="153" t="e">
        <f>P121+#REF!</f>
        <v>#REF!</v>
      </c>
      <c r="Q122" s="153" t="e">
        <f>Q121+#REF!</f>
        <v>#REF!</v>
      </c>
      <c r="R122" s="153" t="e">
        <f>R121+#REF!</f>
        <v>#REF!</v>
      </c>
      <c r="S122" s="153" t="e">
        <f>S121+#REF!</f>
        <v>#REF!</v>
      </c>
      <c r="T122" s="153" t="e">
        <f>T121+#REF!</f>
        <v>#REF!</v>
      </c>
      <c r="U122" s="153" t="e">
        <f>U121+#REF!</f>
        <v>#REF!</v>
      </c>
      <c r="V122" s="153" t="e">
        <f>V121+#REF!</f>
        <v>#REF!</v>
      </c>
      <c r="W122" s="153" t="e">
        <f>W121+#REF!</f>
        <v>#REF!</v>
      </c>
      <c r="X122" s="153" t="e">
        <f>X121+#REF!</f>
        <v>#REF!</v>
      </c>
      <c r="Y122" s="154" t="e">
        <f>Y121+#REF!</f>
        <v>#REF!</v>
      </c>
      <c r="AA122" s="71">
        <v>65.7</v>
      </c>
    </row>
    <row r="123" spans="1:27" s="71" customFormat="1" x14ac:dyDescent="0.2">
      <c r="A123" s="159"/>
      <c r="B123" s="160"/>
      <c r="C123" s="160"/>
      <c r="D123" s="161"/>
      <c r="E123" s="161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  <c r="X123" s="161"/>
      <c r="Y123" s="162"/>
    </row>
    <row r="124" spans="1:27" s="71" customFormat="1" x14ac:dyDescent="0.2">
      <c r="A124" s="159"/>
      <c r="B124" s="160"/>
      <c r="C124" s="160"/>
      <c r="D124" s="161"/>
      <c r="E124" s="161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  <c r="X124" s="161"/>
      <c r="Y124" s="162"/>
    </row>
    <row r="125" spans="1:27" s="71" customFormat="1" x14ac:dyDescent="0.3">
      <c r="A125" s="6"/>
      <c r="B125" s="87" t="s">
        <v>384</v>
      </c>
      <c r="C125" s="302"/>
      <c r="D125" s="6"/>
      <c r="E125" s="6"/>
      <c r="F125" s="87"/>
      <c r="G125" s="86"/>
      <c r="H125" s="86"/>
      <c r="I125" s="86"/>
      <c r="J125" s="87" t="s">
        <v>40</v>
      </c>
      <c r="K125" s="26"/>
      <c r="L125" s="87" t="s">
        <v>161</v>
      </c>
      <c r="M125" s="26"/>
      <c r="N125" s="26"/>
      <c r="O125" s="26"/>
      <c r="P125" s="26"/>
      <c r="Q125" s="26"/>
      <c r="R125" s="26"/>
      <c r="S125" s="26"/>
      <c r="T125" s="26"/>
      <c r="U125" s="6"/>
      <c r="V125" s="6"/>
      <c r="W125" s="6"/>
      <c r="X125" s="6"/>
      <c r="Y125" s="28"/>
    </row>
    <row r="126" spans="1:27" s="71" customFormat="1" x14ac:dyDescent="0.3">
      <c r="A126" s="6"/>
      <c r="B126" s="394" t="s">
        <v>382</v>
      </c>
      <c r="C126" s="394"/>
      <c r="D126" s="394"/>
      <c r="E126" s="394"/>
      <c r="F126" s="6"/>
      <c r="G126" s="86"/>
      <c r="H126" s="86"/>
      <c r="I126" s="86"/>
      <c r="J126" s="88"/>
      <c r="K126" s="26"/>
      <c r="L126" s="26" t="s">
        <v>383</v>
      </c>
      <c r="M126" s="26"/>
      <c r="N126" s="26"/>
      <c r="O126" s="6"/>
      <c r="P126" s="6"/>
      <c r="Q126" s="6"/>
      <c r="R126" s="6"/>
      <c r="S126" s="88"/>
      <c r="T126" s="88"/>
      <c r="U126" s="6"/>
      <c r="V126" s="88"/>
      <c r="W126" s="88"/>
      <c r="X126" s="6"/>
      <c r="Y126" s="28"/>
    </row>
    <row r="127" spans="1:27" s="71" customFormat="1" x14ac:dyDescent="0.3">
      <c r="A127" s="6"/>
      <c r="B127" s="31"/>
      <c r="C127" s="31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spans="1:27" s="71" customFormat="1" x14ac:dyDescent="0.3">
      <c r="A128" s="6"/>
      <c r="B128" s="31"/>
      <c r="C128" s="31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spans="1:25" s="71" customFormat="1" x14ac:dyDescent="0.3">
      <c r="A129" s="6"/>
      <c r="B129" s="31"/>
      <c r="C129" s="31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spans="1:25" s="71" customFormat="1" x14ac:dyDescent="0.3">
      <c r="A130" s="6"/>
      <c r="B130" s="31"/>
      <c r="C130" s="31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spans="1:25" s="71" customFormat="1" x14ac:dyDescent="0.3">
      <c r="A131" s="6"/>
      <c r="B131" s="31"/>
      <c r="C131" s="31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spans="1:25" s="71" customFormat="1" x14ac:dyDescent="0.3">
      <c r="A132" s="6"/>
      <c r="B132" s="31"/>
      <c r="C132" s="31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spans="1:25" s="71" customFormat="1" x14ac:dyDescent="0.3">
      <c r="A133" s="6"/>
      <c r="B133" s="31"/>
      <c r="C133" s="31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spans="1:25" s="71" customFormat="1" x14ac:dyDescent="0.3">
      <c r="A134" s="6"/>
      <c r="B134" s="31"/>
      <c r="C134" s="31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spans="1:25" s="71" customFormat="1" x14ac:dyDescent="0.3">
      <c r="A135" s="6"/>
      <c r="B135" s="31"/>
      <c r="C135" s="31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spans="1:25" s="71" customFormat="1" x14ac:dyDescent="0.3">
      <c r="A136" s="6"/>
      <c r="B136" s="31"/>
      <c r="C136" s="31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spans="1:25" s="71" customFormat="1" x14ac:dyDescent="0.3">
      <c r="A137" s="6"/>
      <c r="B137" s="31"/>
      <c r="C137" s="31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spans="1:25" s="71" customFormat="1" x14ac:dyDescent="0.3">
      <c r="A138" s="6"/>
      <c r="B138" s="31"/>
      <c r="C138" s="31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spans="1:25" s="71" customFormat="1" x14ac:dyDescent="0.3">
      <c r="A139" s="6"/>
      <c r="B139" s="31"/>
      <c r="C139" s="31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spans="1:25" s="71" customFormat="1" x14ac:dyDescent="0.3">
      <c r="A140" s="6"/>
      <c r="B140" s="31"/>
      <c r="C140" s="31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</sheetData>
  <mergeCells count="88">
    <mergeCell ref="C104:C105"/>
    <mergeCell ref="C61:C70"/>
    <mergeCell ref="C12:C24"/>
    <mergeCell ref="C76:C85"/>
    <mergeCell ref="C71:C75"/>
    <mergeCell ref="C37:C52"/>
    <mergeCell ref="C53:C58"/>
    <mergeCell ref="C59:C60"/>
    <mergeCell ref="A106:A107"/>
    <mergeCell ref="A108:A109"/>
    <mergeCell ref="A110:A111"/>
    <mergeCell ref="A31:A32"/>
    <mergeCell ref="A33:A34"/>
    <mergeCell ref="A35:A36"/>
    <mergeCell ref="A92:A94"/>
    <mergeCell ref="A95:A97"/>
    <mergeCell ref="A98:A99"/>
    <mergeCell ref="A86:A88"/>
    <mergeCell ref="A89:A91"/>
    <mergeCell ref="A61:A70"/>
    <mergeCell ref="A37:A52"/>
    <mergeCell ref="A53:A60"/>
    <mergeCell ref="A76:A85"/>
    <mergeCell ref="A71:A75"/>
    <mergeCell ref="B104:B105"/>
    <mergeCell ref="B100:B101"/>
    <mergeCell ref="A104:A105"/>
    <mergeCell ref="A100:A101"/>
    <mergeCell ref="A102:A103"/>
    <mergeCell ref="B126:E126"/>
    <mergeCell ref="B71:B75"/>
    <mergeCell ref="A122:H122"/>
    <mergeCell ref="A121:H121"/>
    <mergeCell ref="B35:B36"/>
    <mergeCell ref="B106:B107"/>
    <mergeCell ref="B95:B97"/>
    <mergeCell ref="B116:B117"/>
    <mergeCell ref="B114:B115"/>
    <mergeCell ref="B112:B113"/>
    <mergeCell ref="B110:B111"/>
    <mergeCell ref="B108:B109"/>
    <mergeCell ref="B102:B103"/>
    <mergeCell ref="A112:A113"/>
    <mergeCell ref="A114:A115"/>
    <mergeCell ref="A116:A117"/>
    <mergeCell ref="A12:A24"/>
    <mergeCell ref="A25:A26"/>
    <mergeCell ref="B1:Y1"/>
    <mergeCell ref="A6:Y6"/>
    <mergeCell ref="A7:Y7"/>
    <mergeCell ref="W8:W9"/>
    <mergeCell ref="Y8:Y9"/>
    <mergeCell ref="K8:K9"/>
    <mergeCell ref="Q8:Q9"/>
    <mergeCell ref="L8:L9"/>
    <mergeCell ref="F8:F9"/>
    <mergeCell ref="B8:B9"/>
    <mergeCell ref="D8:D9"/>
    <mergeCell ref="A8:A9"/>
    <mergeCell ref="X8:X9"/>
    <mergeCell ref="H8:H9"/>
    <mergeCell ref="A11:Y11"/>
    <mergeCell ref="P8:P9"/>
    <mergeCell ref="R8:U8"/>
    <mergeCell ref="V8:V9"/>
    <mergeCell ref="J8:J9"/>
    <mergeCell ref="O8:O9"/>
    <mergeCell ref="N8:N9"/>
    <mergeCell ref="I8:I9"/>
    <mergeCell ref="M8:M9"/>
    <mergeCell ref="E8:E9"/>
    <mergeCell ref="G8:G9"/>
    <mergeCell ref="B98:B99"/>
    <mergeCell ref="B92:B94"/>
    <mergeCell ref="A29:A30"/>
    <mergeCell ref="B12:B24"/>
    <mergeCell ref="B86:B88"/>
    <mergeCell ref="B89:B91"/>
    <mergeCell ref="B33:B34"/>
    <mergeCell ref="B61:B70"/>
    <mergeCell ref="B76:B85"/>
    <mergeCell ref="B37:B52"/>
    <mergeCell ref="B53:B60"/>
    <mergeCell ref="B31:B32"/>
    <mergeCell ref="B29:B30"/>
    <mergeCell ref="B27:B28"/>
    <mergeCell ref="A27:A28"/>
    <mergeCell ref="B25:B26"/>
  </mergeCells>
  <phoneticPr fontId="18" type="noConversion"/>
  <pageMargins left="0.27559055118110237" right="0.31496062992125984" top="0.59055118110236227" bottom="0.27559055118110237" header="0.31496062992125984" footer="0.31496062992125984"/>
  <pageSetup paperSize="9" scale="53" orientation="landscape" verticalDpi="300" r:id="rId1"/>
  <rowBreaks count="5" manualBreakCount="5">
    <brk id="42" max="24" man="1"/>
    <brk id="85" max="24" man="1"/>
    <brk id="120" max="24" man="1"/>
    <brk id="128" max="23" man="1"/>
    <brk id="141" max="2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H543"/>
  <sheetViews>
    <sheetView view="pageBreakPreview" zoomScale="55" zoomScaleNormal="55" zoomScaleSheetLayoutView="55" workbookViewId="0">
      <selection activeCell="O125" sqref="O125:O149"/>
    </sheetView>
  </sheetViews>
  <sheetFormatPr defaultColWidth="9.28515625" defaultRowHeight="18.75" x14ac:dyDescent="0.3"/>
  <cols>
    <col min="1" max="1" width="5.7109375" style="34" customWidth="1"/>
    <col min="2" max="2" width="49.7109375" style="73" customWidth="1"/>
    <col min="3" max="3" width="21.5703125" style="285" customWidth="1"/>
    <col min="4" max="4" width="13.7109375" style="35" customWidth="1"/>
    <col min="5" max="5" width="32.85546875" style="35" customWidth="1"/>
    <col min="6" max="6" width="6.7109375" style="35" customWidth="1"/>
    <col min="7" max="7" width="9.28515625" style="34"/>
    <col min="8" max="8" width="7.42578125" style="34" customWidth="1"/>
    <col min="9" max="9" width="9.28515625" style="34" customWidth="1"/>
    <col min="10" max="10" width="8" style="34" customWidth="1"/>
    <col min="11" max="11" width="8" style="35" customWidth="1"/>
    <col min="12" max="12" width="6.5703125" style="35" customWidth="1"/>
    <col min="13" max="13" width="9.42578125" style="35" customWidth="1"/>
    <col min="14" max="24" width="4.28515625" style="35" customWidth="1"/>
    <col min="25" max="25" width="6.85546875" style="39" customWidth="1"/>
    <col min="26" max="26" width="12.42578125" style="4" customWidth="1"/>
    <col min="27" max="27" width="10.5703125" style="4" customWidth="1"/>
    <col min="28" max="28" width="14" style="4" customWidth="1"/>
    <col min="29" max="34" width="9.28515625" style="4"/>
    <col min="35" max="16384" width="9.28515625" style="5"/>
  </cols>
  <sheetData>
    <row r="1" spans="1:34" s="12" customFormat="1" x14ac:dyDescent="0.3">
      <c r="A1" s="118"/>
      <c r="B1" s="413" t="s">
        <v>39</v>
      </c>
      <c r="C1" s="413"/>
      <c r="D1" s="413"/>
      <c r="E1" s="413"/>
      <c r="F1" s="413"/>
      <c r="G1" s="413"/>
      <c r="H1" s="413"/>
      <c r="I1" s="413"/>
      <c r="J1" s="413"/>
      <c r="K1" s="413"/>
      <c r="L1" s="413"/>
      <c r="M1" s="413"/>
      <c r="N1" s="413"/>
      <c r="O1" s="413"/>
      <c r="P1" s="413"/>
      <c r="Q1" s="413"/>
      <c r="R1" s="413"/>
      <c r="S1" s="413"/>
      <c r="T1" s="413"/>
      <c r="U1" s="413"/>
      <c r="V1" s="413"/>
      <c r="W1" s="413"/>
      <c r="X1" s="413"/>
      <c r="Y1" s="413"/>
      <c r="Z1" s="8"/>
      <c r="AA1" s="8"/>
      <c r="AB1" s="8"/>
      <c r="AC1" s="8"/>
      <c r="AD1" s="8"/>
      <c r="AE1" s="8"/>
      <c r="AF1" s="8"/>
      <c r="AG1" s="8"/>
      <c r="AH1" s="8"/>
    </row>
    <row r="2" spans="1:34" s="12" customFormat="1" x14ac:dyDescent="0.3">
      <c r="A2" s="118"/>
      <c r="B2" s="413"/>
      <c r="C2" s="413"/>
      <c r="D2" s="413"/>
      <c r="E2" s="413"/>
      <c r="F2" s="413"/>
      <c r="G2" s="413"/>
      <c r="H2" s="413"/>
      <c r="I2" s="413"/>
      <c r="J2" s="413"/>
      <c r="K2" s="413"/>
      <c r="L2" s="413"/>
      <c r="M2" s="413"/>
      <c r="N2" s="413"/>
      <c r="O2" s="413"/>
      <c r="P2" s="413"/>
      <c r="Q2" s="413"/>
      <c r="R2" s="413"/>
      <c r="S2" s="413"/>
      <c r="T2" s="413"/>
      <c r="U2" s="413"/>
      <c r="V2" s="413"/>
      <c r="W2" s="413"/>
      <c r="X2" s="413"/>
      <c r="Y2" s="413"/>
      <c r="Z2" s="8"/>
      <c r="AA2" s="8"/>
      <c r="AB2" s="8"/>
      <c r="AC2" s="8"/>
      <c r="AD2" s="8"/>
      <c r="AE2" s="8"/>
      <c r="AF2" s="8"/>
      <c r="AG2" s="8"/>
      <c r="AH2" s="8"/>
    </row>
    <row r="3" spans="1:34" s="12" customFormat="1" x14ac:dyDescent="0.3">
      <c r="A3" s="118"/>
      <c r="B3" s="31"/>
      <c r="C3" s="31"/>
      <c r="D3" s="19"/>
      <c r="E3" s="19"/>
      <c r="F3" s="19"/>
      <c r="G3" s="19"/>
      <c r="H3" s="19"/>
      <c r="I3" s="118"/>
      <c r="J3" s="118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22" t="s">
        <v>17</v>
      </c>
      <c r="Z3" s="8"/>
      <c r="AA3" s="8"/>
      <c r="AB3" s="8"/>
      <c r="AC3" s="8"/>
      <c r="AD3" s="8"/>
      <c r="AE3" s="8"/>
      <c r="AF3" s="8"/>
      <c r="AG3" s="8"/>
      <c r="AH3" s="8"/>
    </row>
    <row r="4" spans="1:34" s="12" customFormat="1" x14ac:dyDescent="0.3">
      <c r="A4" s="118"/>
      <c r="B4" s="31"/>
      <c r="C4" s="31"/>
      <c r="D4" s="19"/>
      <c r="E4" s="19"/>
      <c r="F4" s="19"/>
      <c r="G4" s="19"/>
      <c r="H4" s="118"/>
      <c r="I4" s="118"/>
      <c r="J4" s="118"/>
      <c r="K4" s="6"/>
      <c r="L4" s="6"/>
      <c r="M4" s="6"/>
      <c r="N4" s="6"/>
      <c r="O4" s="6"/>
      <c r="P4" s="6"/>
      <c r="Q4" s="6"/>
      <c r="R4" s="6"/>
      <c r="S4" s="19" t="s">
        <v>18</v>
      </c>
      <c r="T4" s="23"/>
      <c r="U4" s="6"/>
      <c r="V4" s="6"/>
      <c r="W4" s="23"/>
      <c r="X4" s="6"/>
      <c r="Y4" s="24"/>
      <c r="Z4" s="14"/>
      <c r="AA4" s="14"/>
      <c r="AB4" s="13"/>
      <c r="AC4" s="8"/>
      <c r="AD4" s="8"/>
      <c r="AE4" s="8"/>
      <c r="AF4" s="8"/>
      <c r="AG4" s="8"/>
      <c r="AH4" s="8"/>
    </row>
    <row r="5" spans="1:34" s="12" customFormat="1" ht="15.75" customHeight="1" x14ac:dyDescent="0.3">
      <c r="A5" s="118"/>
      <c r="B5" s="31"/>
      <c r="C5" s="31"/>
      <c r="D5" s="19"/>
      <c r="E5" s="19"/>
      <c r="F5" s="19"/>
      <c r="G5" s="19"/>
      <c r="H5" s="118"/>
      <c r="I5" s="118"/>
      <c r="J5" s="118"/>
      <c r="K5" s="6"/>
      <c r="L5" s="6"/>
      <c r="M5" s="6"/>
      <c r="N5" s="6"/>
      <c r="O5" s="6"/>
      <c r="P5" s="6"/>
      <c r="Q5" s="6"/>
      <c r="R5" s="6"/>
      <c r="S5" s="29" t="s">
        <v>119</v>
      </c>
      <c r="T5" s="23"/>
      <c r="U5" s="6"/>
      <c r="V5" s="6"/>
      <c r="W5" s="23"/>
      <c r="X5" s="6"/>
      <c r="Y5" s="24"/>
      <c r="Z5" s="14"/>
      <c r="AA5" s="14"/>
      <c r="AB5" s="13"/>
      <c r="AC5" s="8"/>
      <c r="AD5" s="8"/>
      <c r="AE5" s="8"/>
      <c r="AF5" s="8"/>
      <c r="AG5" s="8"/>
      <c r="AH5" s="8"/>
    </row>
    <row r="6" spans="1:34" s="12" customFormat="1" ht="15.75" customHeight="1" x14ac:dyDescent="0.3">
      <c r="A6" s="118"/>
      <c r="B6" s="31"/>
      <c r="C6" s="31"/>
      <c r="D6" s="6"/>
      <c r="E6" s="6"/>
      <c r="F6" s="6"/>
      <c r="G6" s="118"/>
      <c r="H6" s="118"/>
      <c r="I6" s="118"/>
      <c r="J6" s="118"/>
      <c r="K6" s="6"/>
      <c r="L6" s="6"/>
      <c r="M6" s="6"/>
      <c r="N6" s="6"/>
      <c r="O6" s="6"/>
      <c r="P6" s="6"/>
      <c r="Q6" s="6"/>
      <c r="R6" s="6"/>
      <c r="S6" s="19" t="s">
        <v>34</v>
      </c>
      <c r="T6" s="23"/>
      <c r="U6" s="6"/>
      <c r="V6" s="6"/>
      <c r="W6" s="23"/>
      <c r="X6" s="6"/>
      <c r="Y6" s="24"/>
      <c r="Z6" s="14"/>
      <c r="AA6" s="14"/>
      <c r="AB6" s="13"/>
      <c r="AC6" s="8"/>
      <c r="AD6" s="8"/>
      <c r="AE6" s="8"/>
      <c r="AF6" s="8"/>
      <c r="AG6" s="8"/>
      <c r="AH6" s="8"/>
    </row>
    <row r="7" spans="1:34" s="12" customFormat="1" ht="21" customHeight="1" x14ac:dyDescent="0.25">
      <c r="A7" s="414" t="s">
        <v>282</v>
      </c>
      <c r="B7" s="414"/>
      <c r="C7" s="414"/>
      <c r="D7" s="414"/>
      <c r="E7" s="414"/>
      <c r="F7" s="414"/>
      <c r="G7" s="414"/>
      <c r="H7" s="414"/>
      <c r="I7" s="414"/>
      <c r="J7" s="414"/>
      <c r="K7" s="414"/>
      <c r="L7" s="414"/>
      <c r="M7" s="414"/>
      <c r="N7" s="414"/>
      <c r="O7" s="414"/>
      <c r="P7" s="414"/>
      <c r="Q7" s="414"/>
      <c r="R7" s="414"/>
      <c r="S7" s="414"/>
      <c r="T7" s="414"/>
      <c r="U7" s="414"/>
      <c r="V7" s="414"/>
      <c r="W7" s="414"/>
      <c r="X7" s="414"/>
      <c r="Y7" s="414"/>
      <c r="Z7" s="8"/>
      <c r="AA7" s="8"/>
      <c r="AB7" s="8"/>
      <c r="AC7" s="8"/>
      <c r="AD7" s="8"/>
      <c r="AE7" s="8"/>
      <c r="AF7" s="8"/>
      <c r="AG7" s="8"/>
      <c r="AH7" s="8"/>
    </row>
    <row r="8" spans="1:34" s="12" customFormat="1" ht="19.5" customHeight="1" thickBot="1" x14ac:dyDescent="0.35">
      <c r="A8" s="415" t="s">
        <v>6</v>
      </c>
      <c r="B8" s="415"/>
      <c r="C8" s="415"/>
      <c r="D8" s="415"/>
      <c r="E8" s="415"/>
      <c r="F8" s="415"/>
      <c r="G8" s="415"/>
      <c r="H8" s="415"/>
      <c r="I8" s="415"/>
      <c r="J8" s="415"/>
      <c r="K8" s="415"/>
      <c r="L8" s="415"/>
      <c r="M8" s="415"/>
      <c r="N8" s="415"/>
      <c r="O8" s="415"/>
      <c r="P8" s="415"/>
      <c r="Q8" s="415"/>
      <c r="R8" s="415"/>
      <c r="S8" s="415"/>
      <c r="T8" s="415"/>
      <c r="U8" s="415"/>
      <c r="V8" s="415"/>
      <c r="W8" s="415"/>
      <c r="X8" s="415"/>
      <c r="Y8" s="415"/>
      <c r="Z8" s="8"/>
      <c r="AA8" s="8"/>
      <c r="AB8" s="8"/>
      <c r="AC8" s="8"/>
      <c r="AD8" s="8"/>
      <c r="AE8" s="8"/>
      <c r="AF8" s="8"/>
      <c r="AG8" s="8"/>
      <c r="AH8" s="8"/>
    </row>
    <row r="9" spans="1:34" s="12" customFormat="1" ht="30" customHeight="1" x14ac:dyDescent="0.25">
      <c r="A9" s="416" t="s">
        <v>19</v>
      </c>
      <c r="B9" s="446" t="s">
        <v>20</v>
      </c>
      <c r="C9" s="281"/>
      <c r="D9" s="410" t="s">
        <v>5</v>
      </c>
      <c r="E9" s="410" t="s">
        <v>13</v>
      </c>
      <c r="F9" s="410" t="s">
        <v>8</v>
      </c>
      <c r="G9" s="410" t="s">
        <v>21</v>
      </c>
      <c r="H9" s="410" t="s">
        <v>22</v>
      </c>
      <c r="I9" s="410" t="s">
        <v>23</v>
      </c>
      <c r="J9" s="410" t="s">
        <v>4</v>
      </c>
      <c r="K9" s="410" t="s">
        <v>3</v>
      </c>
      <c r="L9" s="410" t="s">
        <v>38</v>
      </c>
      <c r="M9" s="410" t="s">
        <v>2</v>
      </c>
      <c r="N9" s="410" t="s">
        <v>37</v>
      </c>
      <c r="O9" s="410" t="s">
        <v>15</v>
      </c>
      <c r="P9" s="410" t="s">
        <v>24</v>
      </c>
      <c r="Q9" s="410" t="s">
        <v>16</v>
      </c>
      <c r="R9" s="412" t="s">
        <v>25</v>
      </c>
      <c r="S9" s="412"/>
      <c r="T9" s="412"/>
      <c r="U9" s="412"/>
      <c r="V9" s="410" t="s">
        <v>36</v>
      </c>
      <c r="W9" s="410" t="s">
        <v>26</v>
      </c>
      <c r="X9" s="484" t="s">
        <v>1</v>
      </c>
      <c r="Y9" s="482" t="s">
        <v>27</v>
      </c>
      <c r="Z9" s="8"/>
      <c r="AA9" s="8"/>
      <c r="AB9" s="8"/>
      <c r="AC9" s="8"/>
      <c r="AD9" s="8"/>
      <c r="AE9" s="8"/>
      <c r="AF9" s="8"/>
      <c r="AG9" s="8"/>
      <c r="AH9" s="8"/>
    </row>
    <row r="10" spans="1:34" s="12" customFormat="1" ht="114" customHeight="1" thickBot="1" x14ac:dyDescent="0.3">
      <c r="A10" s="503"/>
      <c r="B10" s="504"/>
      <c r="C10" s="300" t="s">
        <v>651</v>
      </c>
      <c r="D10" s="505"/>
      <c r="E10" s="505"/>
      <c r="F10" s="505"/>
      <c r="G10" s="505"/>
      <c r="H10" s="505"/>
      <c r="I10" s="505"/>
      <c r="J10" s="505"/>
      <c r="K10" s="505"/>
      <c r="L10" s="505"/>
      <c r="M10" s="505"/>
      <c r="N10" s="505"/>
      <c r="O10" s="505"/>
      <c r="P10" s="505"/>
      <c r="Q10" s="505"/>
      <c r="R10" s="121" t="s">
        <v>28</v>
      </c>
      <c r="S10" s="121" t="s">
        <v>29</v>
      </c>
      <c r="T10" s="121" t="s">
        <v>30</v>
      </c>
      <c r="U10" s="121" t="s">
        <v>0</v>
      </c>
      <c r="V10" s="505"/>
      <c r="W10" s="505"/>
      <c r="X10" s="506"/>
      <c r="Y10" s="507"/>
      <c r="Z10" s="8"/>
      <c r="AA10" s="8"/>
      <c r="AB10" s="8"/>
      <c r="AC10" s="8"/>
      <c r="AD10" s="8"/>
      <c r="AE10" s="8"/>
      <c r="AF10" s="8"/>
      <c r="AG10" s="8"/>
      <c r="AH10" s="8"/>
    </row>
    <row r="11" spans="1:34" s="12" customFormat="1" ht="25.5" customHeight="1" thickBot="1" x14ac:dyDescent="0.3">
      <c r="A11" s="110">
        <v>1</v>
      </c>
      <c r="B11" s="66">
        <v>2</v>
      </c>
      <c r="C11" s="66"/>
      <c r="D11" s="115">
        <v>3</v>
      </c>
      <c r="E11" s="115">
        <v>4</v>
      </c>
      <c r="F11" s="115">
        <v>5</v>
      </c>
      <c r="G11" s="115">
        <v>6</v>
      </c>
      <c r="H11" s="115">
        <v>7</v>
      </c>
      <c r="I11" s="115">
        <v>8</v>
      </c>
      <c r="J11" s="115">
        <v>9</v>
      </c>
      <c r="K11" s="115">
        <v>10</v>
      </c>
      <c r="L11" s="115">
        <v>11</v>
      </c>
      <c r="M11" s="115">
        <v>12</v>
      </c>
      <c r="N11" s="115">
        <v>13</v>
      </c>
      <c r="O11" s="115">
        <v>14</v>
      </c>
      <c r="P11" s="115">
        <v>15</v>
      </c>
      <c r="Q11" s="115">
        <v>16</v>
      </c>
      <c r="R11" s="115">
        <v>17</v>
      </c>
      <c r="S11" s="115">
        <v>18</v>
      </c>
      <c r="T11" s="115">
        <v>19</v>
      </c>
      <c r="U11" s="115">
        <v>20</v>
      </c>
      <c r="V11" s="115">
        <v>21</v>
      </c>
      <c r="W11" s="115">
        <v>22</v>
      </c>
      <c r="X11" s="115">
        <v>23</v>
      </c>
      <c r="Y11" s="41">
        <v>24</v>
      </c>
      <c r="Z11" s="8"/>
      <c r="AA11" s="8"/>
      <c r="AB11" s="8"/>
      <c r="AC11" s="8"/>
      <c r="AD11" s="8"/>
      <c r="AE11" s="8"/>
      <c r="AF11" s="8"/>
      <c r="AG11" s="8"/>
      <c r="AH11" s="8"/>
    </row>
    <row r="12" spans="1:34" s="17" customFormat="1" ht="24.75" customHeight="1" thickBot="1" x14ac:dyDescent="0.25">
      <c r="A12" s="499" t="s">
        <v>157</v>
      </c>
      <c r="B12" s="500"/>
      <c r="C12" s="500"/>
      <c r="D12" s="500"/>
      <c r="E12" s="500"/>
      <c r="F12" s="500"/>
      <c r="G12" s="500"/>
      <c r="H12" s="500"/>
      <c r="I12" s="500"/>
      <c r="J12" s="500"/>
      <c r="K12" s="500"/>
      <c r="L12" s="500"/>
      <c r="M12" s="500"/>
      <c r="N12" s="500"/>
      <c r="O12" s="500"/>
      <c r="P12" s="500"/>
      <c r="Q12" s="500"/>
      <c r="R12" s="500"/>
      <c r="S12" s="500"/>
      <c r="T12" s="500"/>
      <c r="U12" s="500"/>
      <c r="V12" s="500"/>
      <c r="W12" s="500"/>
      <c r="X12" s="500"/>
      <c r="Y12" s="501"/>
    </row>
    <row r="13" spans="1:34" ht="23.25" customHeight="1" x14ac:dyDescent="0.2">
      <c r="A13" s="502">
        <v>1</v>
      </c>
      <c r="B13" s="446" t="s">
        <v>80</v>
      </c>
      <c r="C13" s="515">
        <v>317</v>
      </c>
      <c r="D13" s="124" t="s">
        <v>46</v>
      </c>
      <c r="E13" s="117" t="s">
        <v>86</v>
      </c>
      <c r="F13" s="43">
        <v>5</v>
      </c>
      <c r="G13" s="117" t="s">
        <v>35</v>
      </c>
      <c r="H13" s="117">
        <v>19</v>
      </c>
      <c r="I13" s="117">
        <v>30</v>
      </c>
      <c r="J13" s="43"/>
      <c r="K13" s="43"/>
      <c r="L13" s="43"/>
      <c r="M13" s="43">
        <v>15</v>
      </c>
      <c r="N13" s="43"/>
      <c r="O13" s="43">
        <v>3</v>
      </c>
      <c r="P13" s="5" t="s">
        <v>439</v>
      </c>
      <c r="Q13" s="43"/>
      <c r="R13" s="43"/>
      <c r="S13" s="43"/>
      <c r="T13" s="43"/>
      <c r="U13" s="43"/>
      <c r="V13" s="43"/>
      <c r="W13" s="43"/>
      <c r="X13" s="43"/>
      <c r="Y13" s="44">
        <v>2.1</v>
      </c>
      <c r="Z13" s="5" t="s">
        <v>439</v>
      </c>
      <c r="AA13" s="5"/>
      <c r="AB13" s="5"/>
      <c r="AC13" s="5"/>
      <c r="AD13" s="5"/>
      <c r="AE13" s="5"/>
      <c r="AF13" s="5"/>
      <c r="AG13" s="5"/>
      <c r="AH13" s="5"/>
    </row>
    <row r="14" spans="1:34" ht="23.25" customHeight="1" x14ac:dyDescent="0.2">
      <c r="A14" s="490"/>
      <c r="B14" s="401"/>
      <c r="C14" s="403"/>
      <c r="D14" s="177" t="s">
        <v>46</v>
      </c>
      <c r="E14" s="169" t="s">
        <v>88</v>
      </c>
      <c r="F14" s="171">
        <v>5</v>
      </c>
      <c r="G14" s="169" t="s">
        <v>35</v>
      </c>
      <c r="H14" s="169">
        <v>18</v>
      </c>
      <c r="I14" s="169"/>
      <c r="J14" s="171"/>
      <c r="K14" s="109"/>
      <c r="L14" s="109"/>
      <c r="M14" s="109"/>
      <c r="N14" s="109"/>
      <c r="O14" s="109">
        <v>3</v>
      </c>
      <c r="P14" s="5" t="s">
        <v>439</v>
      </c>
      <c r="Q14" s="109"/>
      <c r="R14" s="109"/>
      <c r="S14" s="109"/>
      <c r="T14" s="109"/>
      <c r="U14" s="109"/>
      <c r="V14" s="109"/>
      <c r="W14" s="109"/>
      <c r="X14" s="109"/>
      <c r="Y14" s="36">
        <v>0.6</v>
      </c>
      <c r="Z14" s="5" t="s">
        <v>439</v>
      </c>
      <c r="AA14" s="5"/>
      <c r="AB14" s="5"/>
      <c r="AC14" s="5"/>
      <c r="AD14" s="5"/>
      <c r="AE14" s="5"/>
      <c r="AF14" s="5"/>
      <c r="AG14" s="5"/>
      <c r="AH14" s="5"/>
    </row>
    <row r="15" spans="1:34" ht="23.25" customHeight="1" x14ac:dyDescent="0.2">
      <c r="A15" s="490"/>
      <c r="B15" s="401"/>
      <c r="C15" s="403"/>
      <c r="D15" s="93" t="s">
        <v>46</v>
      </c>
      <c r="E15" s="168" t="s">
        <v>86</v>
      </c>
      <c r="F15" s="170">
        <v>5</v>
      </c>
      <c r="G15" s="168" t="s">
        <v>35</v>
      </c>
      <c r="H15" s="168">
        <v>19</v>
      </c>
      <c r="I15" s="168"/>
      <c r="J15" s="170">
        <v>15</v>
      </c>
      <c r="K15" s="170"/>
      <c r="L15" s="170"/>
      <c r="M15" s="170"/>
      <c r="N15" s="170"/>
      <c r="O15" s="170"/>
      <c r="P15" s="5" t="s">
        <v>438</v>
      </c>
      <c r="Q15" s="170"/>
      <c r="R15" s="170"/>
      <c r="S15" s="170"/>
      <c r="T15" s="170"/>
      <c r="U15" s="170"/>
      <c r="V15" s="170"/>
      <c r="W15" s="170"/>
      <c r="X15" s="170"/>
      <c r="Y15" s="36"/>
      <c r="Z15" s="5" t="s">
        <v>438</v>
      </c>
      <c r="AA15" s="5"/>
      <c r="AB15" s="5"/>
      <c r="AC15" s="5"/>
      <c r="AD15" s="5"/>
      <c r="AE15" s="5"/>
      <c r="AF15" s="5"/>
      <c r="AG15" s="5"/>
      <c r="AH15" s="5"/>
    </row>
    <row r="16" spans="1:34" ht="23.25" customHeight="1" x14ac:dyDescent="0.2">
      <c r="A16" s="490"/>
      <c r="B16" s="401"/>
      <c r="C16" s="403"/>
      <c r="D16" s="93" t="s">
        <v>46</v>
      </c>
      <c r="E16" s="168" t="s">
        <v>88</v>
      </c>
      <c r="F16" s="170">
        <v>5</v>
      </c>
      <c r="G16" s="168" t="s">
        <v>35</v>
      </c>
      <c r="H16" s="168">
        <v>18</v>
      </c>
      <c r="I16" s="168"/>
      <c r="J16" s="170">
        <v>15</v>
      </c>
      <c r="K16" s="170"/>
      <c r="L16" s="170"/>
      <c r="M16" s="170"/>
      <c r="N16" s="170"/>
      <c r="O16" s="170"/>
      <c r="P16" s="5" t="s">
        <v>438</v>
      </c>
      <c r="Q16" s="170"/>
      <c r="R16" s="170"/>
      <c r="S16" s="170"/>
      <c r="T16" s="170"/>
      <c r="U16" s="170"/>
      <c r="V16" s="170"/>
      <c r="W16" s="170"/>
      <c r="X16" s="170"/>
      <c r="Y16" s="36"/>
      <c r="Z16" s="5" t="s">
        <v>438</v>
      </c>
      <c r="AA16" s="5"/>
      <c r="AB16" s="5"/>
      <c r="AC16" s="5"/>
      <c r="AD16" s="5"/>
      <c r="AE16" s="5"/>
      <c r="AF16" s="5"/>
      <c r="AG16" s="5"/>
      <c r="AH16" s="5"/>
    </row>
    <row r="17" spans="1:34" ht="23.25" customHeight="1" x14ac:dyDescent="0.2">
      <c r="A17" s="490"/>
      <c r="B17" s="401"/>
      <c r="C17" s="493"/>
      <c r="D17" s="93" t="s">
        <v>46</v>
      </c>
      <c r="E17" s="114" t="s">
        <v>85</v>
      </c>
      <c r="F17" s="109">
        <v>5</v>
      </c>
      <c r="G17" s="114" t="s">
        <v>32</v>
      </c>
      <c r="H17" s="114">
        <v>5</v>
      </c>
      <c r="I17" s="114">
        <v>30</v>
      </c>
      <c r="J17" s="109">
        <v>15</v>
      </c>
      <c r="K17" s="109"/>
      <c r="L17" s="109"/>
      <c r="M17" s="109">
        <v>15</v>
      </c>
      <c r="N17" s="109"/>
      <c r="O17" s="109">
        <v>3</v>
      </c>
      <c r="P17" s="76"/>
      <c r="Q17" s="109" t="s">
        <v>460</v>
      </c>
      <c r="R17" s="109"/>
      <c r="S17" s="109"/>
      <c r="T17" s="109"/>
      <c r="U17" s="5" t="s">
        <v>458</v>
      </c>
      <c r="V17" s="109"/>
      <c r="W17" s="109"/>
      <c r="X17" s="109"/>
      <c r="Y17" s="36">
        <v>1.05</v>
      </c>
      <c r="Z17" s="5" t="s">
        <v>458</v>
      </c>
      <c r="AA17" s="5"/>
      <c r="AB17" s="5"/>
      <c r="AC17" s="5"/>
      <c r="AD17" s="5"/>
      <c r="AE17" s="5"/>
      <c r="AF17" s="5"/>
      <c r="AG17" s="5"/>
      <c r="AH17" s="5"/>
    </row>
    <row r="18" spans="1:34" ht="23.25" customHeight="1" x14ac:dyDescent="0.2">
      <c r="A18" s="490">
        <v>2</v>
      </c>
      <c r="B18" s="401" t="s">
        <v>257</v>
      </c>
      <c r="C18" s="402">
        <v>302</v>
      </c>
      <c r="D18" s="93" t="s">
        <v>46</v>
      </c>
      <c r="E18" s="114" t="s">
        <v>86</v>
      </c>
      <c r="F18" s="109">
        <v>5</v>
      </c>
      <c r="G18" s="114" t="s">
        <v>35</v>
      </c>
      <c r="H18" s="114">
        <v>19</v>
      </c>
      <c r="I18" s="114">
        <v>30</v>
      </c>
      <c r="J18" s="109">
        <v>15</v>
      </c>
      <c r="K18" s="109"/>
      <c r="L18" s="109"/>
      <c r="M18" s="109">
        <v>15</v>
      </c>
      <c r="N18" s="109" t="s">
        <v>65</v>
      </c>
      <c r="O18" s="109">
        <v>3</v>
      </c>
      <c r="P18" s="5" t="s">
        <v>455</v>
      </c>
      <c r="Q18" s="5"/>
      <c r="R18" s="109"/>
      <c r="S18" s="109"/>
      <c r="T18" s="109"/>
      <c r="U18" s="109"/>
      <c r="V18" s="109"/>
      <c r="W18" s="109"/>
      <c r="X18" s="109"/>
      <c r="Y18" s="36">
        <v>2.1</v>
      </c>
      <c r="Z18" s="5" t="s">
        <v>455</v>
      </c>
      <c r="AA18" s="5"/>
      <c r="AB18" s="5"/>
      <c r="AC18" s="5"/>
      <c r="AD18" s="5"/>
      <c r="AE18" s="5"/>
      <c r="AF18" s="5"/>
      <c r="AG18" s="5"/>
      <c r="AH18" s="5"/>
    </row>
    <row r="19" spans="1:34" ht="23.25" customHeight="1" x14ac:dyDescent="0.2">
      <c r="A19" s="490"/>
      <c r="B19" s="401"/>
      <c r="C19" s="403"/>
      <c r="D19" s="93" t="s">
        <v>46</v>
      </c>
      <c r="E19" s="114" t="s">
        <v>88</v>
      </c>
      <c r="F19" s="109">
        <v>5</v>
      </c>
      <c r="G19" s="114" t="s">
        <v>35</v>
      </c>
      <c r="H19" s="114">
        <v>18</v>
      </c>
      <c r="I19" s="114"/>
      <c r="J19" s="109">
        <v>15</v>
      </c>
      <c r="K19" s="109"/>
      <c r="L19" s="109"/>
      <c r="M19" s="109"/>
      <c r="N19" s="109" t="s">
        <v>65</v>
      </c>
      <c r="O19" s="109">
        <v>3</v>
      </c>
      <c r="P19" s="5" t="s">
        <v>455</v>
      </c>
      <c r="Q19" s="5"/>
      <c r="R19" s="109"/>
      <c r="S19" s="109"/>
      <c r="T19" s="109"/>
      <c r="U19" s="109"/>
      <c r="V19" s="109"/>
      <c r="W19" s="109"/>
      <c r="X19" s="109"/>
      <c r="Y19" s="36">
        <v>0.6</v>
      </c>
      <c r="Z19" s="5" t="s">
        <v>455</v>
      </c>
      <c r="AA19" s="5"/>
      <c r="AB19" s="5"/>
      <c r="AC19" s="5"/>
      <c r="AD19" s="5"/>
      <c r="AE19" s="5"/>
      <c r="AF19" s="5"/>
      <c r="AG19" s="5"/>
      <c r="AH19" s="5"/>
    </row>
    <row r="20" spans="1:34" ht="23.25" customHeight="1" x14ac:dyDescent="0.2">
      <c r="A20" s="490"/>
      <c r="B20" s="401"/>
      <c r="C20" s="493"/>
      <c r="D20" s="93" t="s">
        <v>46</v>
      </c>
      <c r="E20" s="114" t="s">
        <v>85</v>
      </c>
      <c r="F20" s="109">
        <v>5</v>
      </c>
      <c r="G20" s="114" t="s">
        <v>32</v>
      </c>
      <c r="H20" s="114">
        <v>5</v>
      </c>
      <c r="I20" s="114">
        <v>30</v>
      </c>
      <c r="J20" s="109">
        <v>15</v>
      </c>
      <c r="K20" s="109"/>
      <c r="L20" s="109"/>
      <c r="M20" s="109">
        <v>15</v>
      </c>
      <c r="N20" s="109" t="s">
        <v>65</v>
      </c>
      <c r="O20" s="109">
        <v>3</v>
      </c>
      <c r="P20" s="5" t="s">
        <v>457</v>
      </c>
      <c r="Q20" s="5"/>
      <c r="R20" s="109"/>
      <c r="S20" s="109"/>
      <c r="T20" s="109"/>
      <c r="U20" s="109"/>
      <c r="V20" s="109"/>
      <c r="W20" s="109"/>
      <c r="X20" s="109"/>
      <c r="Y20" s="36">
        <v>1.05</v>
      </c>
      <c r="Z20" s="5" t="s">
        <v>457</v>
      </c>
      <c r="AA20" s="5"/>
      <c r="AB20" s="5"/>
      <c r="AC20" s="5"/>
      <c r="AD20" s="5"/>
      <c r="AE20" s="5"/>
      <c r="AF20" s="5"/>
      <c r="AG20" s="5"/>
      <c r="AH20" s="5"/>
    </row>
    <row r="21" spans="1:34" ht="23.25" customHeight="1" x14ac:dyDescent="0.2">
      <c r="A21" s="491">
        <v>3</v>
      </c>
      <c r="B21" s="514" t="s">
        <v>212</v>
      </c>
      <c r="C21" s="289"/>
      <c r="D21" s="93" t="s">
        <v>46</v>
      </c>
      <c r="E21" s="168" t="s">
        <v>86</v>
      </c>
      <c r="F21" s="170">
        <v>5</v>
      </c>
      <c r="G21" s="168" t="s">
        <v>35</v>
      </c>
      <c r="H21" s="168">
        <v>19</v>
      </c>
      <c r="I21" s="168">
        <v>30</v>
      </c>
      <c r="J21" s="170"/>
      <c r="K21" s="170"/>
      <c r="L21" s="170"/>
      <c r="M21" s="170"/>
      <c r="N21" s="170"/>
      <c r="O21" s="170"/>
      <c r="P21" s="5" t="s">
        <v>439</v>
      </c>
      <c r="Q21" s="5"/>
      <c r="R21" s="170"/>
      <c r="S21" s="170"/>
      <c r="T21" s="170"/>
      <c r="U21" s="170"/>
      <c r="V21" s="170"/>
      <c r="W21" s="170"/>
      <c r="X21" s="170"/>
      <c r="Y21" s="36"/>
      <c r="Z21" s="5" t="s">
        <v>439</v>
      </c>
      <c r="AA21" s="5"/>
      <c r="AB21" s="5"/>
      <c r="AC21" s="5"/>
      <c r="AD21" s="5"/>
      <c r="AE21" s="5"/>
      <c r="AF21" s="5"/>
      <c r="AG21" s="5"/>
      <c r="AH21" s="5"/>
    </row>
    <row r="22" spans="1:34" ht="23.25" customHeight="1" x14ac:dyDescent="0.2">
      <c r="A22" s="495"/>
      <c r="B22" s="497"/>
      <c r="C22" s="290"/>
      <c r="D22" s="93" t="s">
        <v>46</v>
      </c>
      <c r="E22" s="168" t="s">
        <v>88</v>
      </c>
      <c r="F22" s="170">
        <v>5</v>
      </c>
      <c r="G22" s="168" t="s">
        <v>35</v>
      </c>
      <c r="H22" s="168">
        <v>18</v>
      </c>
      <c r="I22" s="168"/>
      <c r="J22" s="170"/>
      <c r="K22" s="170"/>
      <c r="L22" s="170"/>
      <c r="M22" s="170"/>
      <c r="N22" s="170"/>
      <c r="O22" s="170"/>
      <c r="P22" s="5" t="s">
        <v>439</v>
      </c>
      <c r="Q22" s="5"/>
      <c r="R22" s="170"/>
      <c r="S22" s="170"/>
      <c r="T22" s="170"/>
      <c r="U22" s="170"/>
      <c r="V22" s="170"/>
      <c r="W22" s="170"/>
      <c r="X22" s="170"/>
      <c r="Y22" s="36"/>
      <c r="Z22" s="5" t="s">
        <v>439</v>
      </c>
      <c r="AA22" s="5"/>
      <c r="AB22" s="5"/>
      <c r="AC22" s="5"/>
      <c r="AD22" s="5"/>
      <c r="AE22" s="5"/>
      <c r="AF22" s="5"/>
      <c r="AG22" s="5"/>
      <c r="AH22" s="5"/>
    </row>
    <row r="23" spans="1:34" s="21" customFormat="1" ht="25.5" customHeight="1" x14ac:dyDescent="0.25">
      <c r="A23" s="495"/>
      <c r="B23" s="497"/>
      <c r="C23" s="290">
        <v>302</v>
      </c>
      <c r="D23" s="93" t="s">
        <v>46</v>
      </c>
      <c r="E23" s="114" t="s">
        <v>86</v>
      </c>
      <c r="F23" s="109">
        <v>5</v>
      </c>
      <c r="G23" s="114" t="s">
        <v>35</v>
      </c>
      <c r="H23" s="114">
        <v>19</v>
      </c>
      <c r="I23" s="114"/>
      <c r="J23" s="109">
        <v>15</v>
      </c>
      <c r="K23" s="109"/>
      <c r="L23" s="109"/>
      <c r="M23" s="109">
        <v>15</v>
      </c>
      <c r="N23" s="109"/>
      <c r="O23" s="109">
        <v>3</v>
      </c>
      <c r="P23" s="5" t="s">
        <v>438</v>
      </c>
      <c r="Q23" s="20"/>
      <c r="R23" s="109"/>
      <c r="S23" s="109"/>
      <c r="T23" s="109"/>
      <c r="U23" s="109"/>
      <c r="V23" s="109"/>
      <c r="W23" s="109"/>
      <c r="X23" s="109"/>
      <c r="Y23" s="36">
        <v>2.1</v>
      </c>
      <c r="Z23" s="5" t="s">
        <v>438</v>
      </c>
      <c r="AA23" s="20"/>
      <c r="AB23" s="20"/>
      <c r="AC23" s="20"/>
      <c r="AD23" s="20"/>
      <c r="AE23" s="20"/>
      <c r="AF23" s="20"/>
      <c r="AG23" s="20"/>
      <c r="AH23" s="20"/>
    </row>
    <row r="24" spans="1:34" s="21" customFormat="1" ht="25.5" customHeight="1" x14ac:dyDescent="0.25">
      <c r="A24" s="495"/>
      <c r="B24" s="497"/>
      <c r="C24" s="290"/>
      <c r="D24" s="93" t="s">
        <v>46</v>
      </c>
      <c r="E24" s="114" t="s">
        <v>88</v>
      </c>
      <c r="F24" s="109">
        <v>5</v>
      </c>
      <c r="G24" s="114" t="s">
        <v>35</v>
      </c>
      <c r="H24" s="114">
        <v>18</v>
      </c>
      <c r="I24" s="114"/>
      <c r="J24" s="109">
        <v>15</v>
      </c>
      <c r="K24" s="109"/>
      <c r="L24" s="109"/>
      <c r="M24" s="109"/>
      <c r="N24" s="109"/>
      <c r="O24" s="109">
        <v>3</v>
      </c>
      <c r="P24" s="5" t="s">
        <v>438</v>
      </c>
      <c r="Q24" s="20"/>
      <c r="R24" s="109"/>
      <c r="S24" s="109"/>
      <c r="T24" s="109"/>
      <c r="U24" s="109"/>
      <c r="V24" s="109"/>
      <c r="W24" s="109"/>
      <c r="X24" s="109"/>
      <c r="Y24" s="36">
        <v>0.6</v>
      </c>
      <c r="Z24" s="5" t="s">
        <v>438</v>
      </c>
      <c r="AA24" s="20"/>
      <c r="AB24" s="20"/>
      <c r="AC24" s="20"/>
      <c r="AD24" s="20"/>
      <c r="AE24" s="20"/>
      <c r="AF24" s="20"/>
      <c r="AG24" s="20"/>
      <c r="AH24" s="20"/>
    </row>
    <row r="25" spans="1:34" s="21" customFormat="1" ht="25.5" customHeight="1" x14ac:dyDescent="0.25">
      <c r="A25" s="492"/>
      <c r="B25" s="498"/>
      <c r="C25" s="291"/>
      <c r="D25" s="93" t="s">
        <v>46</v>
      </c>
      <c r="E25" s="114" t="s">
        <v>85</v>
      </c>
      <c r="F25" s="109">
        <v>5</v>
      </c>
      <c r="G25" s="114" t="s">
        <v>32</v>
      </c>
      <c r="H25" s="114">
        <v>5</v>
      </c>
      <c r="I25" s="114">
        <v>30</v>
      </c>
      <c r="J25" s="109">
        <v>15</v>
      </c>
      <c r="K25" s="109"/>
      <c r="L25" s="109"/>
      <c r="M25" s="109">
        <v>15</v>
      </c>
      <c r="N25" s="109"/>
      <c r="O25" s="109">
        <v>3</v>
      </c>
      <c r="P25" s="20" t="s">
        <v>457</v>
      </c>
      <c r="Q25" s="20"/>
      <c r="R25" s="109"/>
      <c r="S25" s="109"/>
      <c r="T25" s="109"/>
      <c r="U25" s="109"/>
      <c r="V25" s="109"/>
      <c r="W25" s="109"/>
      <c r="X25" s="109"/>
      <c r="Y25" s="36">
        <v>1.05</v>
      </c>
      <c r="Z25" s="20" t="s">
        <v>457</v>
      </c>
      <c r="AA25" s="20"/>
      <c r="AB25" s="20"/>
      <c r="AC25" s="20"/>
      <c r="AD25" s="20"/>
      <c r="AE25" s="20"/>
      <c r="AF25" s="20"/>
      <c r="AG25" s="20"/>
      <c r="AH25" s="20"/>
    </row>
    <row r="26" spans="1:34" s="21" customFormat="1" ht="25.5" customHeight="1" x14ac:dyDescent="0.25">
      <c r="A26" s="491">
        <v>4</v>
      </c>
      <c r="B26" s="402" t="s">
        <v>66</v>
      </c>
      <c r="C26" s="276"/>
      <c r="D26" s="93" t="s">
        <v>46</v>
      </c>
      <c r="E26" s="170" t="s">
        <v>109</v>
      </c>
      <c r="F26" s="170">
        <v>5</v>
      </c>
      <c r="G26" s="168" t="s">
        <v>35</v>
      </c>
      <c r="H26" s="170">
        <v>17</v>
      </c>
      <c r="I26" s="168">
        <v>15</v>
      </c>
      <c r="J26" s="170"/>
      <c r="K26" s="170"/>
      <c r="L26" s="170"/>
      <c r="M26" s="170"/>
      <c r="N26" s="170"/>
      <c r="O26" s="170"/>
      <c r="P26" s="5" t="s">
        <v>439</v>
      </c>
      <c r="Q26" s="20"/>
      <c r="R26" s="170"/>
      <c r="S26" s="170"/>
      <c r="T26" s="170"/>
      <c r="U26" s="170"/>
      <c r="V26" s="170"/>
      <c r="W26" s="170"/>
      <c r="X26" s="170"/>
      <c r="Y26" s="36"/>
      <c r="Z26" s="5" t="s">
        <v>439</v>
      </c>
      <c r="AA26" s="20"/>
      <c r="AB26" s="20"/>
      <c r="AC26" s="20"/>
      <c r="AD26" s="20"/>
      <c r="AE26" s="20"/>
      <c r="AF26" s="20"/>
      <c r="AG26" s="20"/>
      <c r="AH26" s="20"/>
    </row>
    <row r="27" spans="1:34" s="21" customFormat="1" ht="25.5" customHeight="1" x14ac:dyDescent="0.25">
      <c r="A27" s="495"/>
      <c r="B27" s="403"/>
      <c r="C27" s="277"/>
      <c r="D27" s="93" t="s">
        <v>46</v>
      </c>
      <c r="E27" s="170" t="s">
        <v>128</v>
      </c>
      <c r="F27" s="170">
        <v>5</v>
      </c>
      <c r="G27" s="168" t="s">
        <v>35</v>
      </c>
      <c r="H27" s="170">
        <v>23</v>
      </c>
      <c r="I27" s="168"/>
      <c r="J27" s="170"/>
      <c r="K27" s="170"/>
      <c r="L27" s="170"/>
      <c r="M27" s="170"/>
      <c r="N27" s="170"/>
      <c r="O27" s="170"/>
      <c r="P27" s="5" t="s">
        <v>439</v>
      </c>
      <c r="Q27" s="20"/>
      <c r="R27" s="170"/>
      <c r="S27" s="170"/>
      <c r="T27" s="170"/>
      <c r="U27" s="170"/>
      <c r="V27" s="170"/>
      <c r="W27" s="170"/>
      <c r="X27" s="170"/>
      <c r="Y27" s="36"/>
      <c r="Z27" s="5" t="s">
        <v>439</v>
      </c>
      <c r="AA27" s="20"/>
      <c r="AB27" s="20"/>
      <c r="AC27" s="20"/>
      <c r="AD27" s="20"/>
      <c r="AE27" s="20"/>
      <c r="AF27" s="20"/>
      <c r="AG27" s="20"/>
      <c r="AH27" s="20"/>
    </row>
    <row r="28" spans="1:34" ht="24" customHeight="1" x14ac:dyDescent="0.2">
      <c r="A28" s="495"/>
      <c r="B28" s="403"/>
      <c r="C28" s="277"/>
      <c r="D28" s="93" t="s">
        <v>46</v>
      </c>
      <c r="E28" s="109" t="s">
        <v>109</v>
      </c>
      <c r="F28" s="109">
        <v>5</v>
      </c>
      <c r="G28" s="114" t="s">
        <v>35</v>
      </c>
      <c r="H28" s="109">
        <v>17</v>
      </c>
      <c r="I28" s="114"/>
      <c r="J28" s="109">
        <v>30</v>
      </c>
      <c r="K28" s="109"/>
      <c r="L28" s="109"/>
      <c r="M28" s="109">
        <v>15</v>
      </c>
      <c r="N28" s="109"/>
      <c r="O28" s="109">
        <v>3</v>
      </c>
      <c r="P28" s="5" t="s">
        <v>438</v>
      </c>
      <c r="Q28" s="5"/>
      <c r="R28" s="109"/>
      <c r="S28" s="109"/>
      <c r="T28" s="109"/>
      <c r="U28" s="109"/>
      <c r="V28" s="109"/>
      <c r="W28" s="109"/>
      <c r="X28" s="109"/>
      <c r="Y28" s="36">
        <v>2.1</v>
      </c>
      <c r="Z28" s="5" t="s">
        <v>438</v>
      </c>
      <c r="AA28" s="5"/>
      <c r="AB28" s="5"/>
      <c r="AC28" s="5"/>
      <c r="AD28" s="5"/>
      <c r="AE28" s="5"/>
      <c r="AF28" s="5"/>
      <c r="AG28" s="5"/>
      <c r="AH28" s="5"/>
    </row>
    <row r="29" spans="1:34" ht="24" customHeight="1" x14ac:dyDescent="0.2">
      <c r="A29" s="495"/>
      <c r="B29" s="403"/>
      <c r="C29" s="277"/>
      <c r="D29" s="93" t="s">
        <v>46</v>
      </c>
      <c r="E29" s="109" t="s">
        <v>128</v>
      </c>
      <c r="F29" s="109">
        <v>5</v>
      </c>
      <c r="G29" s="114" t="s">
        <v>35</v>
      </c>
      <c r="H29" s="109">
        <v>23</v>
      </c>
      <c r="I29" s="114"/>
      <c r="J29" s="109">
        <v>30</v>
      </c>
      <c r="K29" s="109"/>
      <c r="L29" s="109"/>
      <c r="M29" s="109"/>
      <c r="N29" s="109"/>
      <c r="O29" s="109">
        <v>3</v>
      </c>
      <c r="P29" s="5" t="s">
        <v>438</v>
      </c>
      <c r="Q29" s="5"/>
      <c r="R29" s="109"/>
      <c r="S29" s="109"/>
      <c r="T29" s="109"/>
      <c r="U29" s="109"/>
      <c r="V29" s="109"/>
      <c r="W29" s="109"/>
      <c r="X29" s="109"/>
      <c r="Y29" s="36">
        <v>1.1000000000000001</v>
      </c>
      <c r="Z29" s="5" t="s">
        <v>438</v>
      </c>
      <c r="AA29" s="5"/>
      <c r="AB29" s="5"/>
      <c r="AC29" s="5"/>
      <c r="AD29" s="5"/>
      <c r="AE29" s="5"/>
      <c r="AF29" s="5"/>
      <c r="AG29" s="5"/>
      <c r="AH29" s="5"/>
    </row>
    <row r="30" spans="1:34" ht="24" customHeight="1" x14ac:dyDescent="0.2">
      <c r="A30" s="492"/>
      <c r="B30" s="493"/>
      <c r="C30" s="282"/>
      <c r="D30" s="93" t="s">
        <v>46</v>
      </c>
      <c r="E30" s="109" t="s">
        <v>110</v>
      </c>
      <c r="F30" s="109">
        <v>5</v>
      </c>
      <c r="G30" s="114" t="s">
        <v>32</v>
      </c>
      <c r="H30" s="109">
        <v>13</v>
      </c>
      <c r="I30" s="114">
        <v>15</v>
      </c>
      <c r="J30" s="109">
        <v>30</v>
      </c>
      <c r="K30" s="109"/>
      <c r="L30" s="109"/>
      <c r="M30" s="109">
        <v>15</v>
      </c>
      <c r="N30" s="109"/>
      <c r="O30" s="109">
        <v>3</v>
      </c>
      <c r="P30" s="5" t="s">
        <v>458</v>
      </c>
      <c r="Q30" s="5"/>
      <c r="R30" s="109"/>
      <c r="S30" s="109"/>
      <c r="T30" s="109"/>
      <c r="U30" s="109"/>
      <c r="V30" s="109"/>
      <c r="W30" s="109"/>
      <c r="X30" s="109"/>
      <c r="Y30" s="36">
        <v>2.1</v>
      </c>
      <c r="Z30" s="5" t="s">
        <v>458</v>
      </c>
      <c r="AA30" s="5"/>
      <c r="AB30" s="5"/>
      <c r="AC30" s="5"/>
      <c r="AD30" s="5"/>
      <c r="AE30" s="5"/>
      <c r="AF30" s="5"/>
      <c r="AG30" s="5"/>
      <c r="AH30" s="5"/>
    </row>
    <row r="31" spans="1:34" ht="24" customHeight="1" x14ac:dyDescent="0.2">
      <c r="A31" s="490">
        <v>5</v>
      </c>
      <c r="B31" s="401" t="s">
        <v>67</v>
      </c>
      <c r="C31" s="402">
        <v>304</v>
      </c>
      <c r="D31" s="93" t="s">
        <v>46</v>
      </c>
      <c r="E31" s="109" t="s">
        <v>109</v>
      </c>
      <c r="F31" s="109">
        <v>5</v>
      </c>
      <c r="G31" s="114" t="s">
        <v>35</v>
      </c>
      <c r="H31" s="109">
        <v>17</v>
      </c>
      <c r="I31" s="114">
        <v>15</v>
      </c>
      <c r="J31" s="109">
        <v>30</v>
      </c>
      <c r="K31" s="109"/>
      <c r="L31" s="109"/>
      <c r="M31" s="109">
        <v>15</v>
      </c>
      <c r="N31" s="109"/>
      <c r="O31" s="109">
        <v>3</v>
      </c>
      <c r="P31" s="5" t="s">
        <v>444</v>
      </c>
      <c r="Q31" s="5"/>
      <c r="R31" s="109"/>
      <c r="S31" s="109"/>
      <c r="T31" s="109"/>
      <c r="U31" s="109"/>
      <c r="V31" s="109"/>
      <c r="W31" s="109"/>
      <c r="X31" s="109"/>
      <c r="Y31" s="36">
        <v>2.1</v>
      </c>
      <c r="Z31" s="5" t="s">
        <v>444</v>
      </c>
      <c r="AA31" s="5"/>
      <c r="AB31" s="5"/>
      <c r="AC31" s="5"/>
      <c r="AD31" s="5"/>
      <c r="AE31" s="5"/>
      <c r="AF31" s="5"/>
      <c r="AG31" s="5"/>
      <c r="AH31" s="5"/>
    </row>
    <row r="32" spans="1:34" ht="24" customHeight="1" x14ac:dyDescent="0.2">
      <c r="A32" s="490"/>
      <c r="B32" s="401"/>
      <c r="C32" s="403"/>
      <c r="D32" s="93" t="s">
        <v>46</v>
      </c>
      <c r="E32" s="109" t="s">
        <v>128</v>
      </c>
      <c r="F32" s="109">
        <v>5</v>
      </c>
      <c r="G32" s="114" t="s">
        <v>35</v>
      </c>
      <c r="H32" s="109">
        <v>23</v>
      </c>
      <c r="I32" s="114"/>
      <c r="J32" s="109">
        <v>30</v>
      </c>
      <c r="K32" s="109"/>
      <c r="L32" s="109"/>
      <c r="M32" s="109"/>
      <c r="N32" s="109"/>
      <c r="O32" s="109">
        <v>3</v>
      </c>
      <c r="P32" s="5" t="s">
        <v>444</v>
      </c>
      <c r="Q32" s="5"/>
      <c r="R32" s="109"/>
      <c r="S32" s="109"/>
      <c r="T32" s="109"/>
      <c r="U32" s="109"/>
      <c r="V32" s="109"/>
      <c r="W32" s="109"/>
      <c r="X32" s="109"/>
      <c r="Y32" s="36">
        <v>1.1000000000000001</v>
      </c>
      <c r="Z32" s="5" t="s">
        <v>444</v>
      </c>
      <c r="AA32" s="5"/>
      <c r="AB32" s="5"/>
      <c r="AC32" s="5"/>
      <c r="AD32" s="5"/>
      <c r="AE32" s="5"/>
      <c r="AF32" s="5"/>
      <c r="AG32" s="5"/>
      <c r="AH32" s="5"/>
    </row>
    <row r="33" spans="1:34" ht="24" customHeight="1" x14ac:dyDescent="0.2">
      <c r="A33" s="490"/>
      <c r="B33" s="401"/>
      <c r="C33" s="493"/>
      <c r="D33" s="93" t="s">
        <v>46</v>
      </c>
      <c r="E33" s="109" t="s">
        <v>110</v>
      </c>
      <c r="F33" s="109">
        <v>5</v>
      </c>
      <c r="G33" s="114" t="s">
        <v>32</v>
      </c>
      <c r="H33" s="109">
        <v>13</v>
      </c>
      <c r="I33" s="114">
        <v>15</v>
      </c>
      <c r="J33" s="109">
        <v>30</v>
      </c>
      <c r="K33" s="109"/>
      <c r="L33" s="109"/>
      <c r="M33" s="109">
        <v>15</v>
      </c>
      <c r="N33" s="109"/>
      <c r="O33" s="109">
        <v>3</v>
      </c>
      <c r="P33" s="5" t="s">
        <v>453</v>
      </c>
      <c r="Q33" s="5"/>
      <c r="R33" s="109"/>
      <c r="S33" s="109"/>
      <c r="T33" s="109"/>
      <c r="U33" s="109"/>
      <c r="V33" s="109"/>
      <c r="W33" s="109"/>
      <c r="X33" s="109"/>
      <c r="Y33" s="36">
        <v>2.1</v>
      </c>
      <c r="Z33" s="5" t="s">
        <v>453</v>
      </c>
      <c r="AA33" s="5"/>
      <c r="AB33" s="5"/>
      <c r="AC33" s="5"/>
      <c r="AD33" s="5"/>
      <c r="AE33" s="5"/>
      <c r="AF33" s="5"/>
      <c r="AG33" s="5"/>
      <c r="AH33" s="5"/>
    </row>
    <row r="34" spans="1:34" ht="24" customHeight="1" x14ac:dyDescent="0.2">
      <c r="A34" s="490">
        <v>6</v>
      </c>
      <c r="B34" s="401" t="s">
        <v>68</v>
      </c>
      <c r="C34" s="402">
        <v>304</v>
      </c>
      <c r="D34" s="93" t="s">
        <v>46</v>
      </c>
      <c r="E34" s="109" t="s">
        <v>109</v>
      </c>
      <c r="F34" s="109">
        <v>5</v>
      </c>
      <c r="G34" s="114" t="s">
        <v>35</v>
      </c>
      <c r="H34" s="109">
        <v>17</v>
      </c>
      <c r="I34" s="114">
        <v>15</v>
      </c>
      <c r="J34" s="109">
        <v>30</v>
      </c>
      <c r="K34" s="109"/>
      <c r="L34" s="109"/>
      <c r="M34" s="109">
        <v>15</v>
      </c>
      <c r="N34" s="109"/>
      <c r="O34" s="109">
        <v>3</v>
      </c>
      <c r="P34" s="5" t="s">
        <v>455</v>
      </c>
      <c r="Q34" s="5"/>
      <c r="R34" s="109"/>
      <c r="S34" s="109"/>
      <c r="T34" s="109"/>
      <c r="U34" s="109"/>
      <c r="V34" s="109"/>
      <c r="W34" s="109"/>
      <c r="X34" s="109"/>
      <c r="Y34" s="36">
        <v>2.1</v>
      </c>
      <c r="Z34" s="5" t="s">
        <v>455</v>
      </c>
      <c r="AA34" s="5"/>
      <c r="AB34" s="5"/>
      <c r="AC34" s="5"/>
      <c r="AD34" s="5"/>
      <c r="AE34" s="5"/>
      <c r="AF34" s="5"/>
      <c r="AG34" s="5"/>
      <c r="AH34" s="5"/>
    </row>
    <row r="35" spans="1:34" ht="24" customHeight="1" x14ac:dyDescent="0.2">
      <c r="A35" s="490"/>
      <c r="B35" s="401"/>
      <c r="C35" s="403"/>
      <c r="D35" s="93" t="s">
        <v>46</v>
      </c>
      <c r="E35" s="109" t="s">
        <v>128</v>
      </c>
      <c r="F35" s="109">
        <v>5</v>
      </c>
      <c r="G35" s="114" t="s">
        <v>35</v>
      </c>
      <c r="H35" s="109">
        <v>23</v>
      </c>
      <c r="I35" s="114"/>
      <c r="J35" s="109">
        <v>30</v>
      </c>
      <c r="K35" s="109"/>
      <c r="L35" s="109"/>
      <c r="M35" s="109"/>
      <c r="N35" s="109"/>
      <c r="O35" s="109">
        <v>3</v>
      </c>
      <c r="P35" s="5" t="s">
        <v>455</v>
      </c>
      <c r="Q35" s="5"/>
      <c r="R35" s="109"/>
      <c r="S35" s="109"/>
      <c r="T35" s="109"/>
      <c r="U35" s="109"/>
      <c r="V35" s="109"/>
      <c r="W35" s="109"/>
      <c r="X35" s="109"/>
      <c r="Y35" s="36">
        <v>1.1000000000000001</v>
      </c>
      <c r="Z35" s="5" t="s">
        <v>455</v>
      </c>
      <c r="AA35" s="5"/>
      <c r="AB35" s="5"/>
      <c r="AC35" s="5"/>
      <c r="AD35" s="5"/>
      <c r="AE35" s="5"/>
      <c r="AF35" s="5"/>
      <c r="AG35" s="5"/>
      <c r="AH35" s="5"/>
    </row>
    <row r="36" spans="1:34" ht="24" customHeight="1" x14ac:dyDescent="0.2">
      <c r="A36" s="490"/>
      <c r="B36" s="401"/>
      <c r="C36" s="493"/>
      <c r="D36" s="93" t="s">
        <v>46</v>
      </c>
      <c r="E36" s="109" t="s">
        <v>110</v>
      </c>
      <c r="F36" s="109">
        <v>5</v>
      </c>
      <c r="G36" s="114" t="s">
        <v>32</v>
      </c>
      <c r="H36" s="109">
        <v>13</v>
      </c>
      <c r="I36" s="114">
        <v>15</v>
      </c>
      <c r="J36" s="109">
        <v>30</v>
      </c>
      <c r="K36" s="109"/>
      <c r="L36" s="109"/>
      <c r="M36" s="109">
        <v>15</v>
      </c>
      <c r="N36" s="109"/>
      <c r="O36" s="109">
        <v>3</v>
      </c>
      <c r="P36" s="5" t="s">
        <v>458</v>
      </c>
      <c r="Q36" s="5"/>
      <c r="R36" s="109"/>
      <c r="S36" s="109"/>
      <c r="T36" s="109"/>
      <c r="U36" s="109"/>
      <c r="V36" s="109"/>
      <c r="W36" s="109"/>
      <c r="X36" s="109"/>
      <c r="Y36" s="36">
        <v>2.1</v>
      </c>
      <c r="Z36" s="5" t="s">
        <v>458</v>
      </c>
      <c r="AA36" s="5"/>
      <c r="AB36" s="5"/>
      <c r="AC36" s="5"/>
      <c r="AD36" s="5"/>
      <c r="AE36" s="5"/>
      <c r="AF36" s="5"/>
      <c r="AG36" s="5"/>
      <c r="AH36" s="5"/>
    </row>
    <row r="37" spans="1:34" ht="24" customHeight="1" x14ac:dyDescent="0.2">
      <c r="A37" s="491">
        <v>8</v>
      </c>
      <c r="B37" s="402" t="s">
        <v>258</v>
      </c>
      <c r="C37" s="276"/>
      <c r="D37" s="93" t="s">
        <v>46</v>
      </c>
      <c r="E37" s="170" t="s">
        <v>109</v>
      </c>
      <c r="F37" s="170">
        <v>5</v>
      </c>
      <c r="G37" s="168" t="s">
        <v>35</v>
      </c>
      <c r="H37" s="170">
        <v>17</v>
      </c>
      <c r="I37" s="168">
        <v>15</v>
      </c>
      <c r="J37" s="170"/>
      <c r="K37" s="170"/>
      <c r="L37" s="170"/>
      <c r="M37" s="170"/>
      <c r="N37" s="170"/>
      <c r="O37" s="170"/>
      <c r="P37" s="5" t="s">
        <v>439</v>
      </c>
      <c r="Q37" s="5"/>
      <c r="R37" s="170"/>
      <c r="S37" s="170"/>
      <c r="T37" s="170"/>
      <c r="U37" s="170"/>
      <c r="V37" s="170"/>
      <c r="W37" s="170"/>
      <c r="X37" s="170"/>
      <c r="Y37" s="36"/>
      <c r="Z37" s="5" t="s">
        <v>439</v>
      </c>
      <c r="AA37" s="5"/>
      <c r="AB37" s="5"/>
      <c r="AC37" s="5"/>
      <c r="AD37" s="5"/>
      <c r="AE37" s="5"/>
      <c r="AF37" s="5"/>
      <c r="AG37" s="5"/>
      <c r="AH37" s="5"/>
    </row>
    <row r="38" spans="1:34" ht="24" customHeight="1" x14ac:dyDescent="0.2">
      <c r="A38" s="495"/>
      <c r="B38" s="403"/>
      <c r="C38" s="277"/>
      <c r="D38" s="93" t="s">
        <v>46</v>
      </c>
      <c r="E38" s="170" t="s">
        <v>128</v>
      </c>
      <c r="F38" s="170">
        <v>5</v>
      </c>
      <c r="G38" s="168" t="s">
        <v>35</v>
      </c>
      <c r="H38" s="170">
        <v>23</v>
      </c>
      <c r="I38" s="168"/>
      <c r="J38" s="170"/>
      <c r="K38" s="170"/>
      <c r="L38" s="170"/>
      <c r="M38" s="170"/>
      <c r="N38" s="170"/>
      <c r="O38" s="170"/>
      <c r="P38" s="5" t="s">
        <v>439</v>
      </c>
      <c r="Q38" s="5"/>
      <c r="R38" s="170"/>
      <c r="S38" s="170"/>
      <c r="T38" s="170"/>
      <c r="U38" s="170"/>
      <c r="V38" s="170"/>
      <c r="W38" s="170"/>
      <c r="X38" s="170"/>
      <c r="Y38" s="36"/>
      <c r="Z38" s="5" t="s">
        <v>439</v>
      </c>
      <c r="AA38" s="5"/>
      <c r="AB38" s="5"/>
      <c r="AC38" s="5"/>
      <c r="AD38" s="5"/>
      <c r="AE38" s="5"/>
      <c r="AF38" s="5"/>
      <c r="AG38" s="5"/>
      <c r="AH38" s="5"/>
    </row>
    <row r="39" spans="1:34" ht="24" customHeight="1" x14ac:dyDescent="0.2">
      <c r="A39" s="495"/>
      <c r="B39" s="403"/>
      <c r="C39" s="277"/>
      <c r="D39" s="93" t="s">
        <v>46</v>
      </c>
      <c r="E39" s="109" t="s">
        <v>109</v>
      </c>
      <c r="F39" s="109">
        <v>5</v>
      </c>
      <c r="G39" s="114" t="s">
        <v>35</v>
      </c>
      <c r="H39" s="109">
        <v>17</v>
      </c>
      <c r="I39" s="114"/>
      <c r="J39" s="109">
        <v>30</v>
      </c>
      <c r="K39" s="109"/>
      <c r="L39" s="109"/>
      <c r="M39" s="109">
        <v>15</v>
      </c>
      <c r="N39" s="109"/>
      <c r="O39" s="109">
        <v>3</v>
      </c>
      <c r="P39" s="5" t="s">
        <v>438</v>
      </c>
      <c r="Q39" s="5"/>
      <c r="R39" s="109"/>
      <c r="S39" s="109"/>
      <c r="T39" s="109"/>
      <c r="U39" s="109"/>
      <c r="V39" s="109"/>
      <c r="W39" s="109"/>
      <c r="X39" s="109"/>
      <c r="Y39" s="36">
        <v>2.1</v>
      </c>
      <c r="Z39" s="5" t="s">
        <v>438</v>
      </c>
      <c r="AA39" s="5"/>
      <c r="AB39" s="5"/>
      <c r="AC39" s="5"/>
      <c r="AD39" s="5"/>
      <c r="AE39" s="5"/>
      <c r="AF39" s="5"/>
      <c r="AG39" s="5"/>
      <c r="AH39" s="5"/>
    </row>
    <row r="40" spans="1:34" ht="24" customHeight="1" x14ac:dyDescent="0.2">
      <c r="A40" s="495"/>
      <c r="B40" s="403"/>
      <c r="C40" s="277">
        <v>304</v>
      </c>
      <c r="D40" s="93" t="s">
        <v>46</v>
      </c>
      <c r="E40" s="109" t="s">
        <v>128</v>
      </c>
      <c r="F40" s="109">
        <v>5</v>
      </c>
      <c r="G40" s="114" t="s">
        <v>35</v>
      </c>
      <c r="H40" s="109">
        <v>23</v>
      </c>
      <c r="I40" s="114"/>
      <c r="J40" s="109">
        <v>30</v>
      </c>
      <c r="K40" s="109"/>
      <c r="L40" s="109"/>
      <c r="M40" s="109"/>
      <c r="N40" s="109"/>
      <c r="O40" s="109">
        <v>3</v>
      </c>
      <c r="P40" s="5" t="s">
        <v>438</v>
      </c>
      <c r="Q40" s="5"/>
      <c r="R40" s="109"/>
      <c r="S40" s="109"/>
      <c r="T40" s="109"/>
      <c r="U40" s="109"/>
      <c r="V40" s="109"/>
      <c r="W40" s="109"/>
      <c r="X40" s="109"/>
      <c r="Y40" s="36">
        <v>1.1000000000000001</v>
      </c>
      <c r="Z40" s="5" t="s">
        <v>438</v>
      </c>
      <c r="AA40" s="5"/>
      <c r="AB40" s="5"/>
      <c r="AC40" s="5"/>
      <c r="AD40" s="5"/>
      <c r="AE40" s="5"/>
      <c r="AF40" s="5"/>
      <c r="AG40" s="5"/>
      <c r="AH40" s="5"/>
    </row>
    <row r="41" spans="1:34" ht="24" customHeight="1" x14ac:dyDescent="0.2">
      <c r="A41" s="492"/>
      <c r="B41" s="493"/>
      <c r="C41" s="282"/>
      <c r="D41" s="93" t="s">
        <v>46</v>
      </c>
      <c r="E41" s="109" t="s">
        <v>110</v>
      </c>
      <c r="F41" s="109">
        <v>5</v>
      </c>
      <c r="G41" s="114" t="s">
        <v>32</v>
      </c>
      <c r="H41" s="109">
        <v>13</v>
      </c>
      <c r="I41" s="114">
        <v>15</v>
      </c>
      <c r="J41" s="109">
        <v>30</v>
      </c>
      <c r="K41" s="109"/>
      <c r="L41" s="109"/>
      <c r="M41" s="109">
        <v>15</v>
      </c>
      <c r="N41" s="109"/>
      <c r="O41" s="109">
        <v>3</v>
      </c>
      <c r="P41" s="5" t="s">
        <v>459</v>
      </c>
      <c r="Q41" s="5"/>
      <c r="R41" s="109"/>
      <c r="S41" s="109"/>
      <c r="T41" s="109"/>
      <c r="U41" s="109"/>
      <c r="V41" s="109"/>
      <c r="W41" s="109"/>
      <c r="X41" s="109"/>
      <c r="Y41" s="36">
        <v>2.1</v>
      </c>
      <c r="Z41" s="5" t="s">
        <v>459</v>
      </c>
      <c r="AA41" s="5"/>
      <c r="AB41" s="5"/>
      <c r="AC41" s="5"/>
      <c r="AD41" s="5"/>
      <c r="AE41" s="5"/>
      <c r="AF41" s="5"/>
      <c r="AG41" s="5"/>
      <c r="AH41" s="5"/>
    </row>
    <row r="42" spans="1:34" ht="24" customHeight="1" x14ac:dyDescent="0.2">
      <c r="A42" s="490">
        <v>9</v>
      </c>
      <c r="B42" s="401" t="s">
        <v>135</v>
      </c>
      <c r="C42" s="402">
        <v>304</v>
      </c>
      <c r="D42" s="93" t="s">
        <v>46</v>
      </c>
      <c r="E42" s="109" t="s">
        <v>109</v>
      </c>
      <c r="F42" s="109">
        <v>5</v>
      </c>
      <c r="G42" s="114" t="s">
        <v>35</v>
      </c>
      <c r="H42" s="109">
        <v>17</v>
      </c>
      <c r="I42" s="114">
        <v>15</v>
      </c>
      <c r="J42" s="109">
        <v>30</v>
      </c>
      <c r="K42" s="109"/>
      <c r="L42" s="109"/>
      <c r="M42" s="109">
        <v>15</v>
      </c>
      <c r="N42" s="109"/>
      <c r="O42" s="109">
        <v>3</v>
      </c>
      <c r="P42" s="5" t="s">
        <v>444</v>
      </c>
      <c r="Q42" s="5"/>
      <c r="R42" s="109"/>
      <c r="S42" s="109"/>
      <c r="T42" s="109"/>
      <c r="U42" s="109"/>
      <c r="V42" s="109"/>
      <c r="W42" s="109"/>
      <c r="X42" s="109"/>
      <c r="Y42" s="36">
        <v>2.1</v>
      </c>
      <c r="Z42" s="5" t="s">
        <v>444</v>
      </c>
      <c r="AA42" s="5"/>
      <c r="AB42" s="5"/>
      <c r="AC42" s="5"/>
      <c r="AD42" s="5"/>
      <c r="AE42" s="5"/>
      <c r="AF42" s="5"/>
      <c r="AG42" s="5"/>
      <c r="AH42" s="5"/>
    </row>
    <row r="43" spans="1:34" ht="24" customHeight="1" x14ac:dyDescent="0.2">
      <c r="A43" s="490"/>
      <c r="B43" s="401"/>
      <c r="C43" s="403"/>
      <c r="D43" s="93" t="s">
        <v>46</v>
      </c>
      <c r="E43" s="109" t="s">
        <v>128</v>
      </c>
      <c r="F43" s="109">
        <v>5</v>
      </c>
      <c r="G43" s="114" t="s">
        <v>35</v>
      </c>
      <c r="H43" s="109">
        <v>23</v>
      </c>
      <c r="I43" s="114"/>
      <c r="J43" s="109">
        <v>30</v>
      </c>
      <c r="K43" s="109"/>
      <c r="L43" s="109"/>
      <c r="M43" s="109"/>
      <c r="N43" s="109"/>
      <c r="O43" s="109">
        <v>3</v>
      </c>
      <c r="P43" s="5" t="s">
        <v>444</v>
      </c>
      <c r="Q43" s="5"/>
      <c r="R43" s="109"/>
      <c r="S43" s="109"/>
      <c r="T43" s="109"/>
      <c r="U43" s="109"/>
      <c r="V43" s="109"/>
      <c r="W43" s="109"/>
      <c r="X43" s="109"/>
      <c r="Y43" s="36">
        <v>1.1000000000000001</v>
      </c>
      <c r="Z43" s="5" t="s">
        <v>444</v>
      </c>
      <c r="AA43" s="5"/>
      <c r="AB43" s="5"/>
      <c r="AC43" s="5"/>
      <c r="AD43" s="5"/>
      <c r="AE43" s="5"/>
      <c r="AF43" s="5"/>
      <c r="AG43" s="5"/>
      <c r="AH43" s="5"/>
    </row>
    <row r="44" spans="1:34" ht="24" customHeight="1" x14ac:dyDescent="0.2">
      <c r="A44" s="490"/>
      <c r="B44" s="401"/>
      <c r="C44" s="493"/>
      <c r="D44" s="93" t="s">
        <v>46</v>
      </c>
      <c r="E44" s="109" t="s">
        <v>110</v>
      </c>
      <c r="F44" s="109">
        <v>5</v>
      </c>
      <c r="G44" s="114" t="s">
        <v>32</v>
      </c>
      <c r="H44" s="109">
        <v>13</v>
      </c>
      <c r="I44" s="114">
        <v>15</v>
      </c>
      <c r="J44" s="109">
        <v>30</v>
      </c>
      <c r="K44" s="109"/>
      <c r="L44" s="109"/>
      <c r="M44" s="109">
        <v>15</v>
      </c>
      <c r="N44" s="109"/>
      <c r="O44" s="109">
        <v>3</v>
      </c>
      <c r="P44" s="5" t="s">
        <v>458</v>
      </c>
      <c r="Q44" s="5"/>
      <c r="R44" s="109"/>
      <c r="S44" s="109"/>
      <c r="T44" s="109"/>
      <c r="U44" s="109"/>
      <c r="V44" s="109"/>
      <c r="W44" s="109"/>
      <c r="X44" s="109"/>
      <c r="Y44" s="36">
        <v>2.1</v>
      </c>
      <c r="Z44" s="5" t="s">
        <v>458</v>
      </c>
      <c r="AA44" s="5"/>
      <c r="AB44" s="5"/>
      <c r="AC44" s="5"/>
      <c r="AD44" s="5"/>
      <c r="AE44" s="5"/>
      <c r="AF44" s="5"/>
      <c r="AG44" s="5"/>
      <c r="AH44" s="5"/>
    </row>
    <row r="45" spans="1:34" ht="24" customHeight="1" x14ac:dyDescent="0.2">
      <c r="A45" s="491">
        <v>10</v>
      </c>
      <c r="B45" s="401" t="s">
        <v>259</v>
      </c>
      <c r="C45" s="402">
        <v>304</v>
      </c>
      <c r="D45" s="93" t="s">
        <v>46</v>
      </c>
      <c r="E45" s="109" t="s">
        <v>109</v>
      </c>
      <c r="F45" s="109">
        <v>5</v>
      </c>
      <c r="G45" s="114" t="s">
        <v>35</v>
      </c>
      <c r="H45" s="109">
        <v>17</v>
      </c>
      <c r="I45" s="114">
        <v>15</v>
      </c>
      <c r="J45" s="109">
        <v>23</v>
      </c>
      <c r="K45" s="109">
        <v>7</v>
      </c>
      <c r="L45" s="109"/>
      <c r="M45" s="109">
        <v>15</v>
      </c>
      <c r="N45" s="109"/>
      <c r="O45" s="109">
        <v>3</v>
      </c>
      <c r="P45" s="5" t="s">
        <v>455</v>
      </c>
      <c r="Q45" s="5"/>
      <c r="R45" s="109"/>
      <c r="S45" s="109"/>
      <c r="T45" s="109"/>
      <c r="U45" s="109"/>
      <c r="V45" s="109"/>
      <c r="W45" s="109"/>
      <c r="X45" s="109"/>
      <c r="Y45" s="36">
        <v>2.1</v>
      </c>
      <c r="Z45" s="5" t="s">
        <v>455</v>
      </c>
      <c r="AA45" s="5"/>
      <c r="AB45" s="5"/>
      <c r="AC45" s="5"/>
      <c r="AD45" s="5"/>
      <c r="AE45" s="5"/>
      <c r="AF45" s="5"/>
      <c r="AG45" s="5"/>
      <c r="AH45" s="5"/>
    </row>
    <row r="46" spans="1:34" ht="24" customHeight="1" x14ac:dyDescent="0.2">
      <c r="A46" s="495"/>
      <c r="B46" s="401"/>
      <c r="C46" s="403"/>
      <c r="D46" s="93" t="s">
        <v>46</v>
      </c>
      <c r="E46" s="109" t="s">
        <v>128</v>
      </c>
      <c r="F46" s="109">
        <v>5</v>
      </c>
      <c r="G46" s="114" t="s">
        <v>35</v>
      </c>
      <c r="H46" s="109">
        <v>23</v>
      </c>
      <c r="I46" s="114"/>
      <c r="J46" s="109">
        <v>23</v>
      </c>
      <c r="K46" s="109">
        <v>7</v>
      </c>
      <c r="L46" s="109"/>
      <c r="M46" s="109"/>
      <c r="N46" s="109"/>
      <c r="O46" s="109">
        <v>3</v>
      </c>
      <c r="P46" s="5" t="s">
        <v>455</v>
      </c>
      <c r="Q46" s="5"/>
      <c r="R46" s="109"/>
      <c r="S46" s="109"/>
      <c r="T46" s="109"/>
      <c r="U46" s="109"/>
      <c r="V46" s="109"/>
      <c r="W46" s="109"/>
      <c r="X46" s="109"/>
      <c r="Y46" s="36">
        <v>1.1000000000000001</v>
      </c>
      <c r="Z46" s="5" t="s">
        <v>455</v>
      </c>
      <c r="AA46" s="5"/>
      <c r="AB46" s="5"/>
      <c r="AC46" s="5"/>
      <c r="AD46" s="5"/>
      <c r="AE46" s="5"/>
      <c r="AF46" s="5"/>
      <c r="AG46" s="5"/>
      <c r="AH46" s="5"/>
    </row>
    <row r="47" spans="1:34" ht="24" customHeight="1" x14ac:dyDescent="0.2">
      <c r="A47" s="495"/>
      <c r="B47" s="401"/>
      <c r="C47" s="403"/>
      <c r="D47" s="93" t="s">
        <v>46</v>
      </c>
      <c r="E47" s="109" t="s">
        <v>128</v>
      </c>
      <c r="F47" s="109">
        <v>5</v>
      </c>
      <c r="G47" s="114" t="s">
        <v>35</v>
      </c>
      <c r="H47" s="109"/>
      <c r="I47" s="114"/>
      <c r="J47" s="109"/>
      <c r="K47" s="109">
        <v>7</v>
      </c>
      <c r="L47" s="109"/>
      <c r="M47" s="109"/>
      <c r="N47" s="109"/>
      <c r="O47" s="109"/>
      <c r="P47" s="5" t="s">
        <v>455</v>
      </c>
      <c r="Q47" s="5"/>
      <c r="R47" s="109"/>
      <c r="S47" s="109"/>
      <c r="T47" s="109"/>
      <c r="U47" s="109"/>
      <c r="V47" s="109"/>
      <c r="W47" s="109"/>
      <c r="X47" s="109"/>
      <c r="Y47" s="36">
        <v>0.23</v>
      </c>
      <c r="Z47" s="5" t="s">
        <v>455</v>
      </c>
      <c r="AA47" s="5"/>
      <c r="AB47" s="5"/>
      <c r="AC47" s="5"/>
      <c r="AD47" s="5"/>
      <c r="AE47" s="5"/>
      <c r="AF47" s="5"/>
      <c r="AG47" s="5"/>
      <c r="AH47" s="5"/>
    </row>
    <row r="48" spans="1:34" ht="24" customHeight="1" x14ac:dyDescent="0.2">
      <c r="A48" s="492"/>
      <c r="B48" s="401"/>
      <c r="C48" s="493"/>
      <c r="D48" s="93" t="s">
        <v>46</v>
      </c>
      <c r="E48" s="109" t="s">
        <v>110</v>
      </c>
      <c r="F48" s="109">
        <v>5</v>
      </c>
      <c r="G48" s="114" t="s">
        <v>32</v>
      </c>
      <c r="H48" s="109">
        <v>13</v>
      </c>
      <c r="I48" s="114">
        <v>15</v>
      </c>
      <c r="J48" s="109">
        <v>23</v>
      </c>
      <c r="K48" s="109">
        <v>7</v>
      </c>
      <c r="L48" s="109"/>
      <c r="M48" s="109">
        <v>15</v>
      </c>
      <c r="N48" s="109"/>
      <c r="O48" s="109">
        <v>3</v>
      </c>
      <c r="P48" s="5" t="s">
        <v>457</v>
      </c>
      <c r="Q48" s="5"/>
      <c r="R48" s="109"/>
      <c r="S48" s="109"/>
      <c r="T48" s="109"/>
      <c r="U48" s="109"/>
      <c r="V48" s="109"/>
      <c r="W48" s="109"/>
      <c r="X48" s="109"/>
      <c r="Y48" s="36">
        <v>2.1</v>
      </c>
      <c r="Z48" s="5" t="s">
        <v>457</v>
      </c>
      <c r="AA48" s="5"/>
      <c r="AB48" s="5"/>
      <c r="AC48" s="5"/>
      <c r="AD48" s="5"/>
      <c r="AE48" s="5"/>
      <c r="AF48" s="5"/>
      <c r="AG48" s="5"/>
      <c r="AH48" s="5"/>
    </row>
    <row r="49" spans="1:34" ht="24" customHeight="1" x14ac:dyDescent="0.3">
      <c r="A49" s="491">
        <v>17</v>
      </c>
      <c r="B49" s="401" t="s">
        <v>253</v>
      </c>
      <c r="C49" s="402" t="s">
        <v>668</v>
      </c>
      <c r="D49" s="109" t="s">
        <v>61</v>
      </c>
      <c r="E49" s="109" t="s">
        <v>153</v>
      </c>
      <c r="F49" s="109">
        <v>5</v>
      </c>
      <c r="G49" s="114" t="s">
        <v>35</v>
      </c>
      <c r="H49" s="114">
        <v>11</v>
      </c>
      <c r="I49" s="109">
        <v>30</v>
      </c>
      <c r="J49" s="109">
        <v>15</v>
      </c>
      <c r="K49" s="109"/>
      <c r="L49" s="109"/>
      <c r="M49" s="109">
        <v>15</v>
      </c>
      <c r="N49" s="109"/>
      <c r="O49" s="109">
        <v>3</v>
      </c>
      <c r="P49" s="109"/>
      <c r="Q49" s="295" t="s">
        <v>461</v>
      </c>
      <c r="R49" s="76"/>
      <c r="S49" s="109"/>
      <c r="T49" s="109"/>
      <c r="U49" s="109"/>
      <c r="V49" s="109"/>
      <c r="W49" s="5" t="s">
        <v>455</v>
      </c>
      <c r="X49" s="42"/>
      <c r="Y49" s="36">
        <v>2.1</v>
      </c>
      <c r="Z49" s="5" t="s">
        <v>455</v>
      </c>
      <c r="AA49" s="5"/>
      <c r="AB49" s="5"/>
      <c r="AC49" s="5"/>
      <c r="AD49" s="5"/>
      <c r="AE49" s="5"/>
      <c r="AF49" s="5"/>
      <c r="AG49" s="5"/>
      <c r="AH49" s="5"/>
    </row>
    <row r="50" spans="1:34" ht="24" customHeight="1" x14ac:dyDescent="0.2">
      <c r="A50" s="495"/>
      <c r="B50" s="401"/>
      <c r="C50" s="403"/>
      <c r="D50" s="109" t="s">
        <v>43</v>
      </c>
      <c r="E50" s="109" t="s">
        <v>111</v>
      </c>
      <c r="F50" s="109">
        <v>5</v>
      </c>
      <c r="G50" s="109" t="s">
        <v>35</v>
      </c>
      <c r="H50" s="109">
        <v>12</v>
      </c>
      <c r="I50" s="114"/>
      <c r="J50" s="109"/>
      <c r="K50" s="109"/>
      <c r="L50" s="109"/>
      <c r="M50" s="109"/>
      <c r="N50" s="109"/>
      <c r="O50" s="109"/>
      <c r="P50" s="109"/>
      <c r="Q50" s="295" t="s">
        <v>461</v>
      </c>
      <c r="R50" s="76"/>
      <c r="S50" s="109"/>
      <c r="T50" s="109"/>
      <c r="U50" s="109"/>
      <c r="V50" s="109"/>
      <c r="W50" s="5" t="s">
        <v>455</v>
      </c>
      <c r="X50" s="109"/>
      <c r="Y50" s="36">
        <v>0</v>
      </c>
      <c r="Z50" s="5" t="s">
        <v>455</v>
      </c>
      <c r="AA50" s="5"/>
      <c r="AB50" s="5"/>
      <c r="AC50" s="5"/>
      <c r="AD50" s="5"/>
      <c r="AE50" s="5"/>
      <c r="AF50" s="5"/>
      <c r="AG50" s="5"/>
      <c r="AH50" s="5"/>
    </row>
    <row r="51" spans="1:34" ht="24" customHeight="1" x14ac:dyDescent="0.2">
      <c r="A51" s="495"/>
      <c r="B51" s="401"/>
      <c r="C51" s="403"/>
      <c r="D51" s="93" t="s">
        <v>44</v>
      </c>
      <c r="E51" s="114" t="s">
        <v>87</v>
      </c>
      <c r="F51" s="109">
        <v>5</v>
      </c>
      <c r="G51" s="114" t="s">
        <v>35</v>
      </c>
      <c r="H51" s="109">
        <v>20</v>
      </c>
      <c r="I51" s="114"/>
      <c r="J51" s="109">
        <v>15</v>
      </c>
      <c r="K51" s="109"/>
      <c r="L51" s="109"/>
      <c r="M51" s="109"/>
      <c r="N51" s="109"/>
      <c r="O51" s="109">
        <v>3</v>
      </c>
      <c r="P51" s="109"/>
      <c r="Q51" s="295" t="s">
        <v>461</v>
      </c>
      <c r="R51" s="76"/>
      <c r="S51" s="109"/>
      <c r="T51" s="109"/>
      <c r="U51" s="109"/>
      <c r="V51" s="109"/>
      <c r="W51" s="5" t="s">
        <v>455</v>
      </c>
      <c r="X51" s="109"/>
      <c r="Y51" s="36">
        <v>0.6</v>
      </c>
      <c r="Z51" s="5" t="s">
        <v>455</v>
      </c>
      <c r="AA51" s="5"/>
      <c r="AB51" s="5"/>
      <c r="AC51" s="5"/>
      <c r="AD51" s="5"/>
      <c r="AE51" s="5"/>
      <c r="AF51" s="5"/>
      <c r="AG51" s="5"/>
      <c r="AH51" s="5"/>
    </row>
    <row r="52" spans="1:34" ht="24" customHeight="1" x14ac:dyDescent="0.2">
      <c r="A52" s="495"/>
      <c r="B52" s="401"/>
      <c r="C52" s="403"/>
      <c r="D52" s="109" t="s">
        <v>51</v>
      </c>
      <c r="E52" s="109" t="s">
        <v>100</v>
      </c>
      <c r="F52" s="109">
        <v>5</v>
      </c>
      <c r="G52" s="114" t="s">
        <v>35</v>
      </c>
      <c r="H52" s="109">
        <v>27</v>
      </c>
      <c r="I52" s="114"/>
      <c r="J52" s="109">
        <v>15</v>
      </c>
      <c r="K52" s="109"/>
      <c r="L52" s="109"/>
      <c r="M52" s="109"/>
      <c r="N52" s="109"/>
      <c r="O52" s="109">
        <v>3</v>
      </c>
      <c r="P52" s="109"/>
      <c r="Q52" s="295" t="s">
        <v>461</v>
      </c>
      <c r="R52" s="76"/>
      <c r="S52" s="109"/>
      <c r="T52" s="109"/>
      <c r="U52" s="109"/>
      <c r="V52" s="109"/>
      <c r="W52" s="5" t="s">
        <v>455</v>
      </c>
      <c r="X52" s="109"/>
      <c r="Y52" s="36">
        <v>0.6</v>
      </c>
      <c r="Z52" s="5" t="s">
        <v>455</v>
      </c>
      <c r="AA52" s="5"/>
      <c r="AB52" s="5"/>
      <c r="AC52" s="5"/>
      <c r="AD52" s="5"/>
      <c r="AE52" s="5"/>
      <c r="AF52" s="5"/>
      <c r="AG52" s="5"/>
      <c r="AH52" s="5"/>
    </row>
    <row r="53" spans="1:34" ht="24" customHeight="1" x14ac:dyDescent="0.2">
      <c r="A53" s="495"/>
      <c r="B53" s="401"/>
      <c r="C53" s="403"/>
      <c r="D53" s="109" t="s">
        <v>60</v>
      </c>
      <c r="E53" s="109" t="s">
        <v>98</v>
      </c>
      <c r="F53" s="114">
        <v>5</v>
      </c>
      <c r="G53" s="114" t="s">
        <v>35</v>
      </c>
      <c r="H53" s="114">
        <v>16</v>
      </c>
      <c r="I53" s="114"/>
      <c r="J53" s="109">
        <v>15</v>
      </c>
      <c r="K53" s="109"/>
      <c r="L53" s="109"/>
      <c r="M53" s="109"/>
      <c r="N53" s="109"/>
      <c r="O53" s="109">
        <v>3</v>
      </c>
      <c r="P53" s="109"/>
      <c r="Q53" s="295" t="s">
        <v>461</v>
      </c>
      <c r="R53" s="76"/>
      <c r="S53" s="109"/>
      <c r="T53" s="109"/>
      <c r="U53" s="109"/>
      <c r="V53" s="109"/>
      <c r="W53" s="5" t="s">
        <v>455</v>
      </c>
      <c r="X53" s="109"/>
      <c r="Y53" s="36">
        <v>0.6</v>
      </c>
      <c r="Z53" s="5" t="s">
        <v>455</v>
      </c>
      <c r="AA53" s="5"/>
      <c r="AB53" s="5"/>
      <c r="AC53" s="5"/>
      <c r="AD53" s="5"/>
      <c r="AE53" s="5"/>
      <c r="AF53" s="5"/>
      <c r="AG53" s="5"/>
      <c r="AH53" s="5"/>
    </row>
    <row r="54" spans="1:34" ht="24" customHeight="1" x14ac:dyDescent="0.2">
      <c r="A54" s="495"/>
      <c r="B54" s="401"/>
      <c r="C54" s="403"/>
      <c r="D54" s="109" t="s">
        <v>45</v>
      </c>
      <c r="E54" s="109" t="s">
        <v>95</v>
      </c>
      <c r="F54" s="109">
        <v>5</v>
      </c>
      <c r="G54" s="109" t="s">
        <v>35</v>
      </c>
      <c r="H54" s="109">
        <v>25</v>
      </c>
      <c r="I54" s="114"/>
      <c r="J54" s="109">
        <v>15</v>
      </c>
      <c r="K54" s="109"/>
      <c r="L54" s="109"/>
      <c r="M54" s="109"/>
      <c r="N54" s="109"/>
      <c r="O54" s="109">
        <v>3</v>
      </c>
      <c r="P54" s="109"/>
      <c r="Q54" s="295" t="s">
        <v>461</v>
      </c>
      <c r="R54" s="76"/>
      <c r="S54" s="109"/>
      <c r="T54" s="109"/>
      <c r="U54" s="109"/>
      <c r="V54" s="109"/>
      <c r="W54" s="5" t="s">
        <v>455</v>
      </c>
      <c r="X54" s="109"/>
      <c r="Y54" s="36">
        <v>0.6</v>
      </c>
      <c r="Z54" s="5" t="s">
        <v>455</v>
      </c>
      <c r="AA54" s="5"/>
      <c r="AB54" s="5"/>
      <c r="AC54" s="5"/>
      <c r="AD54" s="5"/>
      <c r="AE54" s="5"/>
      <c r="AF54" s="5"/>
      <c r="AG54" s="5"/>
      <c r="AH54" s="5"/>
    </row>
    <row r="55" spans="1:34" ht="24" customHeight="1" x14ac:dyDescent="0.3">
      <c r="A55" s="495"/>
      <c r="B55" s="401"/>
      <c r="C55" s="403"/>
      <c r="D55" s="109" t="s">
        <v>45</v>
      </c>
      <c r="E55" s="109" t="s">
        <v>96</v>
      </c>
      <c r="F55" s="109">
        <v>5</v>
      </c>
      <c r="G55" s="109" t="s">
        <v>35</v>
      </c>
      <c r="H55" s="109">
        <v>25</v>
      </c>
      <c r="I55" s="109">
        <v>30</v>
      </c>
      <c r="J55" s="109">
        <v>15</v>
      </c>
      <c r="K55" s="109"/>
      <c r="L55" s="109"/>
      <c r="M55" s="109">
        <v>15</v>
      </c>
      <c r="N55" s="109"/>
      <c r="O55" s="109">
        <v>3</v>
      </c>
      <c r="P55" s="109"/>
      <c r="Q55" s="295" t="s">
        <v>461</v>
      </c>
      <c r="R55" s="76"/>
      <c r="S55" s="109"/>
      <c r="T55" s="109"/>
      <c r="U55" s="109"/>
      <c r="V55" s="109"/>
      <c r="W55" s="5" t="s">
        <v>455</v>
      </c>
      <c r="X55" s="42"/>
      <c r="Y55" s="36">
        <v>2.1</v>
      </c>
      <c r="Z55" s="5" t="s">
        <v>455</v>
      </c>
      <c r="AA55" s="5"/>
      <c r="AB55" s="5"/>
      <c r="AC55" s="5"/>
      <c r="AD55" s="5"/>
      <c r="AE55" s="5"/>
      <c r="AF55" s="5"/>
      <c r="AG55" s="5"/>
      <c r="AH55" s="5"/>
    </row>
    <row r="56" spans="1:34" ht="24" customHeight="1" x14ac:dyDescent="0.2">
      <c r="A56" s="495"/>
      <c r="B56" s="401"/>
      <c r="C56" s="403"/>
      <c r="D56" s="109" t="s">
        <v>45</v>
      </c>
      <c r="E56" s="109" t="s">
        <v>151</v>
      </c>
      <c r="F56" s="109">
        <v>5</v>
      </c>
      <c r="G56" s="109" t="s">
        <v>35</v>
      </c>
      <c r="H56" s="109">
        <v>26</v>
      </c>
      <c r="I56" s="114"/>
      <c r="J56" s="109">
        <v>15</v>
      </c>
      <c r="K56" s="109"/>
      <c r="L56" s="109"/>
      <c r="M56" s="109"/>
      <c r="N56" s="109"/>
      <c r="O56" s="109">
        <v>3</v>
      </c>
      <c r="P56" s="109"/>
      <c r="Q56" s="295" t="s">
        <v>461</v>
      </c>
      <c r="R56" s="76"/>
      <c r="S56" s="109"/>
      <c r="T56" s="109"/>
      <c r="U56" s="109"/>
      <c r="V56" s="109"/>
      <c r="W56" s="5" t="s">
        <v>455</v>
      </c>
      <c r="X56" s="109"/>
      <c r="Y56" s="36">
        <v>0.6</v>
      </c>
      <c r="Z56" s="5" t="s">
        <v>455</v>
      </c>
      <c r="AA56" s="5"/>
      <c r="AB56" s="5"/>
      <c r="AC56" s="5"/>
      <c r="AD56" s="5"/>
      <c r="AE56" s="5"/>
      <c r="AF56" s="5"/>
      <c r="AG56" s="5"/>
      <c r="AH56" s="5"/>
    </row>
    <row r="57" spans="1:34" ht="24" customHeight="1" x14ac:dyDescent="0.2">
      <c r="A57" s="495"/>
      <c r="B57" s="401"/>
      <c r="C57" s="403"/>
      <c r="D57" s="109" t="s">
        <v>45</v>
      </c>
      <c r="E57" s="109" t="s">
        <v>152</v>
      </c>
      <c r="F57" s="109">
        <v>5</v>
      </c>
      <c r="G57" s="109" t="s">
        <v>35</v>
      </c>
      <c r="H57" s="109">
        <v>26</v>
      </c>
      <c r="I57" s="114"/>
      <c r="J57" s="109">
        <v>15</v>
      </c>
      <c r="K57" s="109"/>
      <c r="L57" s="109"/>
      <c r="M57" s="109"/>
      <c r="N57" s="109"/>
      <c r="O57" s="109">
        <v>3</v>
      </c>
      <c r="P57" s="109"/>
      <c r="Q57" s="295" t="s">
        <v>461</v>
      </c>
      <c r="R57" s="76"/>
      <c r="S57" s="109"/>
      <c r="T57" s="109"/>
      <c r="U57" s="109"/>
      <c r="V57" s="109"/>
      <c r="W57" s="5" t="s">
        <v>455</v>
      </c>
      <c r="X57" s="109"/>
      <c r="Y57" s="36">
        <v>0.6</v>
      </c>
      <c r="Z57" s="5" t="s">
        <v>455</v>
      </c>
      <c r="AA57" s="5"/>
      <c r="AB57" s="5"/>
      <c r="AC57" s="5"/>
      <c r="AD57" s="5"/>
      <c r="AE57" s="5"/>
      <c r="AF57" s="5"/>
      <c r="AG57" s="5"/>
      <c r="AH57" s="5"/>
    </row>
    <row r="58" spans="1:34" ht="24" customHeight="1" x14ac:dyDescent="0.2">
      <c r="A58" s="495"/>
      <c r="B58" s="401"/>
      <c r="C58" s="403"/>
      <c r="D58" s="109" t="s">
        <v>45</v>
      </c>
      <c r="E58" s="109" t="s">
        <v>166</v>
      </c>
      <c r="F58" s="109">
        <v>5</v>
      </c>
      <c r="G58" s="109" t="s">
        <v>35</v>
      </c>
      <c r="H58" s="109">
        <v>26</v>
      </c>
      <c r="I58" s="114"/>
      <c r="J58" s="109">
        <v>15</v>
      </c>
      <c r="K58" s="109"/>
      <c r="L58" s="109"/>
      <c r="M58" s="109"/>
      <c r="N58" s="109"/>
      <c r="O58" s="109">
        <v>3</v>
      </c>
      <c r="P58" s="109"/>
      <c r="Q58" s="295" t="s">
        <v>461</v>
      </c>
      <c r="R58" s="76"/>
      <c r="S58" s="109"/>
      <c r="T58" s="109"/>
      <c r="U58" s="109"/>
      <c r="V58" s="109"/>
      <c r="W58" s="5" t="s">
        <v>455</v>
      </c>
      <c r="X58" s="109"/>
      <c r="Y58" s="36">
        <v>0.6</v>
      </c>
      <c r="Z58" s="5" t="s">
        <v>455</v>
      </c>
      <c r="AA58" s="5"/>
      <c r="AB58" s="5"/>
      <c r="AC58" s="5"/>
      <c r="AD58" s="5"/>
      <c r="AE58" s="5"/>
      <c r="AF58" s="5"/>
      <c r="AG58" s="5"/>
      <c r="AH58" s="5"/>
    </row>
    <row r="59" spans="1:34" ht="24" customHeight="1" x14ac:dyDescent="0.3">
      <c r="A59" s="495"/>
      <c r="B59" s="401"/>
      <c r="C59" s="403"/>
      <c r="D59" s="109" t="s">
        <v>43</v>
      </c>
      <c r="E59" s="109" t="s">
        <v>89</v>
      </c>
      <c r="F59" s="109">
        <v>5</v>
      </c>
      <c r="G59" s="109" t="s">
        <v>32</v>
      </c>
      <c r="H59" s="109">
        <v>10</v>
      </c>
      <c r="I59" s="109">
        <v>30</v>
      </c>
      <c r="J59" s="109">
        <v>15</v>
      </c>
      <c r="K59" s="109"/>
      <c r="L59" s="109"/>
      <c r="M59" s="109">
        <v>15</v>
      </c>
      <c r="N59" s="109"/>
      <c r="O59" s="109">
        <v>3</v>
      </c>
      <c r="P59" s="5" t="s">
        <v>457</v>
      </c>
      <c r="Q59" s="5"/>
      <c r="R59" s="109"/>
      <c r="S59" s="109"/>
      <c r="T59" s="109"/>
      <c r="U59" s="109"/>
      <c r="V59" s="109"/>
      <c r="W59" s="109"/>
      <c r="X59" s="42"/>
      <c r="Y59" s="36">
        <v>2.1</v>
      </c>
      <c r="Z59" s="5" t="s">
        <v>457</v>
      </c>
      <c r="AA59" s="5"/>
      <c r="AB59" s="5"/>
      <c r="AC59" s="5"/>
      <c r="AD59" s="5"/>
      <c r="AE59" s="5"/>
      <c r="AF59" s="5"/>
      <c r="AG59" s="5"/>
      <c r="AH59" s="5"/>
    </row>
    <row r="60" spans="1:34" ht="24" customHeight="1" x14ac:dyDescent="0.2">
      <c r="A60" s="495"/>
      <c r="B60" s="401"/>
      <c r="C60" s="403"/>
      <c r="D60" s="93" t="s">
        <v>44</v>
      </c>
      <c r="E60" s="114" t="s">
        <v>169</v>
      </c>
      <c r="F60" s="109">
        <v>5</v>
      </c>
      <c r="G60" s="114" t="s">
        <v>32</v>
      </c>
      <c r="H60" s="109">
        <v>9</v>
      </c>
      <c r="I60" s="114"/>
      <c r="J60" s="109"/>
      <c r="K60" s="109"/>
      <c r="L60" s="109"/>
      <c r="M60" s="109"/>
      <c r="N60" s="109"/>
      <c r="O60" s="109"/>
      <c r="P60" s="5" t="s">
        <v>457</v>
      </c>
      <c r="Q60" s="5"/>
      <c r="R60" s="109"/>
      <c r="S60" s="109"/>
      <c r="T60" s="109"/>
      <c r="U60" s="109"/>
      <c r="V60" s="109"/>
      <c r="W60" s="109"/>
      <c r="X60" s="109"/>
      <c r="Y60" s="36">
        <v>0</v>
      </c>
      <c r="Z60" s="5" t="s">
        <v>457</v>
      </c>
      <c r="AA60" s="5"/>
      <c r="AB60" s="5"/>
      <c r="AC60" s="5"/>
      <c r="AD60" s="5"/>
      <c r="AE60" s="5"/>
      <c r="AF60" s="5"/>
      <c r="AG60" s="5"/>
      <c r="AH60" s="5"/>
    </row>
    <row r="61" spans="1:34" ht="24" customHeight="1" x14ac:dyDescent="0.2">
      <c r="A61" s="495"/>
      <c r="B61" s="401"/>
      <c r="C61" s="403"/>
      <c r="D61" s="109" t="s">
        <v>51</v>
      </c>
      <c r="E61" s="109" t="s">
        <v>101</v>
      </c>
      <c r="F61" s="109">
        <v>5</v>
      </c>
      <c r="G61" s="114" t="s">
        <v>32</v>
      </c>
      <c r="H61" s="109">
        <v>10</v>
      </c>
      <c r="I61" s="114"/>
      <c r="J61" s="109"/>
      <c r="K61" s="109"/>
      <c r="L61" s="109"/>
      <c r="M61" s="109"/>
      <c r="N61" s="109"/>
      <c r="O61" s="109"/>
      <c r="P61" s="5" t="s">
        <v>457</v>
      </c>
      <c r="Q61" s="5"/>
      <c r="R61" s="109"/>
      <c r="S61" s="109"/>
      <c r="T61" s="109"/>
      <c r="U61" s="109"/>
      <c r="V61" s="109"/>
      <c r="W61" s="109"/>
      <c r="X61" s="109"/>
      <c r="Y61" s="36">
        <v>0</v>
      </c>
      <c r="Z61" s="5" t="s">
        <v>457</v>
      </c>
      <c r="AA61" s="5"/>
      <c r="AB61" s="5"/>
      <c r="AC61" s="5"/>
      <c r="AD61" s="5"/>
      <c r="AE61" s="5"/>
      <c r="AF61" s="5"/>
      <c r="AG61" s="5"/>
      <c r="AH61" s="5"/>
    </row>
    <row r="62" spans="1:34" ht="24" customHeight="1" x14ac:dyDescent="0.2">
      <c r="A62" s="495"/>
      <c r="B62" s="401"/>
      <c r="C62" s="403"/>
      <c r="D62" s="109" t="s">
        <v>60</v>
      </c>
      <c r="E62" s="109" t="s">
        <v>99</v>
      </c>
      <c r="F62" s="114">
        <v>5</v>
      </c>
      <c r="G62" s="114" t="s">
        <v>32</v>
      </c>
      <c r="H62" s="109">
        <v>15</v>
      </c>
      <c r="I62" s="114"/>
      <c r="J62" s="109">
        <v>15</v>
      </c>
      <c r="K62" s="109"/>
      <c r="L62" s="109"/>
      <c r="M62" s="109"/>
      <c r="N62" s="109"/>
      <c r="O62" s="109">
        <v>3</v>
      </c>
      <c r="P62" s="5" t="s">
        <v>457</v>
      </c>
      <c r="Q62" s="5"/>
      <c r="R62" s="109"/>
      <c r="S62" s="109"/>
      <c r="T62" s="109"/>
      <c r="U62" s="109"/>
      <c r="V62" s="109"/>
      <c r="W62" s="109"/>
      <c r="X62" s="109"/>
      <c r="Y62" s="36">
        <v>0.6</v>
      </c>
      <c r="Z62" s="5" t="s">
        <v>457</v>
      </c>
      <c r="AA62" s="5"/>
      <c r="AB62" s="5"/>
      <c r="AC62" s="5"/>
      <c r="AD62" s="5"/>
      <c r="AE62" s="5"/>
      <c r="AF62" s="5"/>
      <c r="AG62" s="5"/>
      <c r="AH62" s="5"/>
    </row>
    <row r="63" spans="1:34" ht="24" customHeight="1" x14ac:dyDescent="0.2">
      <c r="A63" s="492"/>
      <c r="B63" s="401"/>
      <c r="C63" s="493"/>
      <c r="D63" s="109" t="s">
        <v>45</v>
      </c>
      <c r="E63" s="109" t="s">
        <v>112</v>
      </c>
      <c r="F63" s="109">
        <v>5</v>
      </c>
      <c r="G63" s="109" t="s">
        <v>32</v>
      </c>
      <c r="H63" s="109">
        <v>12</v>
      </c>
      <c r="I63" s="114"/>
      <c r="J63" s="109"/>
      <c r="K63" s="109"/>
      <c r="L63" s="109"/>
      <c r="M63" s="109"/>
      <c r="N63" s="109"/>
      <c r="O63" s="109"/>
      <c r="P63" s="5" t="s">
        <v>457</v>
      </c>
      <c r="Q63" s="5"/>
      <c r="R63" s="109"/>
      <c r="S63" s="109"/>
      <c r="T63" s="109"/>
      <c r="U63" s="109"/>
      <c r="V63" s="109"/>
      <c r="W63" s="109"/>
      <c r="X63" s="109"/>
      <c r="Y63" s="36">
        <v>0</v>
      </c>
      <c r="Z63" s="5" t="s">
        <v>457</v>
      </c>
      <c r="AA63" s="5"/>
      <c r="AB63" s="5"/>
      <c r="AC63" s="5"/>
      <c r="AD63" s="5"/>
      <c r="AE63" s="5"/>
      <c r="AF63" s="5"/>
      <c r="AG63" s="5"/>
      <c r="AH63" s="5"/>
    </row>
    <row r="64" spans="1:34" ht="24" customHeight="1" x14ac:dyDescent="0.2">
      <c r="A64" s="490">
        <v>19</v>
      </c>
      <c r="B64" s="401" t="s">
        <v>260</v>
      </c>
      <c r="C64" s="278"/>
      <c r="D64" s="109" t="s">
        <v>60</v>
      </c>
      <c r="E64" s="109" t="s">
        <v>98</v>
      </c>
      <c r="F64" s="114">
        <v>5</v>
      </c>
      <c r="G64" s="114" t="s">
        <v>35</v>
      </c>
      <c r="H64" s="114">
        <v>16</v>
      </c>
      <c r="I64" s="114">
        <v>15</v>
      </c>
      <c r="J64" s="109">
        <v>30</v>
      </c>
      <c r="K64" s="109"/>
      <c r="L64" s="109"/>
      <c r="M64" s="109">
        <v>15</v>
      </c>
      <c r="N64" s="109"/>
      <c r="O64" s="109">
        <v>3</v>
      </c>
      <c r="P64" s="5" t="s">
        <v>448</v>
      </c>
      <c r="Q64" s="5"/>
      <c r="R64" s="109"/>
      <c r="S64" s="109"/>
      <c r="T64" s="109"/>
      <c r="U64" s="109"/>
      <c r="V64" s="109"/>
      <c r="W64" s="109"/>
      <c r="X64" s="109"/>
      <c r="Y64" s="36">
        <v>2.1</v>
      </c>
      <c r="Z64" s="5" t="s">
        <v>448</v>
      </c>
      <c r="AA64" s="5"/>
      <c r="AB64" s="5"/>
      <c r="AC64" s="5"/>
      <c r="AD64" s="5"/>
      <c r="AE64" s="5"/>
      <c r="AF64" s="5"/>
      <c r="AG64" s="5"/>
      <c r="AH64" s="5"/>
    </row>
    <row r="65" spans="1:34" ht="24" customHeight="1" x14ac:dyDescent="0.2">
      <c r="A65" s="490"/>
      <c r="B65" s="401"/>
      <c r="C65" s="278"/>
      <c r="D65" s="109" t="s">
        <v>60</v>
      </c>
      <c r="E65" s="109" t="s">
        <v>99</v>
      </c>
      <c r="F65" s="114">
        <v>5</v>
      </c>
      <c r="G65" s="114" t="s">
        <v>32</v>
      </c>
      <c r="H65" s="109">
        <v>15</v>
      </c>
      <c r="I65" s="114">
        <v>15</v>
      </c>
      <c r="J65" s="109">
        <v>30</v>
      </c>
      <c r="K65" s="109"/>
      <c r="L65" s="109"/>
      <c r="M65" s="109">
        <v>15</v>
      </c>
      <c r="N65" s="109"/>
      <c r="O65" s="109">
        <v>3</v>
      </c>
      <c r="P65" s="5" t="s">
        <v>452</v>
      </c>
      <c r="Q65" s="5"/>
      <c r="R65" s="109"/>
      <c r="S65" s="109"/>
      <c r="T65" s="109"/>
      <c r="U65" s="109"/>
      <c r="V65" s="109"/>
      <c r="W65" s="109"/>
      <c r="X65" s="109"/>
      <c r="Y65" s="36">
        <v>2.1</v>
      </c>
      <c r="Z65" s="5" t="s">
        <v>452</v>
      </c>
      <c r="AA65" s="5"/>
      <c r="AB65" s="5"/>
      <c r="AC65" s="5"/>
      <c r="AD65" s="5"/>
      <c r="AE65" s="5"/>
      <c r="AF65" s="5"/>
      <c r="AG65" s="5"/>
      <c r="AH65" s="5"/>
    </row>
    <row r="66" spans="1:34" ht="24" customHeight="1" x14ac:dyDescent="0.2">
      <c r="A66" s="490">
        <v>20</v>
      </c>
      <c r="B66" s="401" t="s">
        <v>261</v>
      </c>
      <c r="C66" s="278"/>
      <c r="D66" s="109" t="s">
        <v>60</v>
      </c>
      <c r="E66" s="109" t="s">
        <v>98</v>
      </c>
      <c r="F66" s="114">
        <v>5</v>
      </c>
      <c r="G66" s="114" t="s">
        <v>35</v>
      </c>
      <c r="H66" s="114">
        <v>16</v>
      </c>
      <c r="I66" s="114">
        <v>15</v>
      </c>
      <c r="J66" s="109">
        <v>30</v>
      </c>
      <c r="K66" s="109"/>
      <c r="L66" s="109"/>
      <c r="M66" s="109">
        <v>15</v>
      </c>
      <c r="N66" s="109"/>
      <c r="O66" s="109">
        <v>3</v>
      </c>
      <c r="P66" s="5" t="s">
        <v>449</v>
      </c>
      <c r="Q66" s="5"/>
      <c r="R66" s="109"/>
      <c r="S66" s="109"/>
      <c r="T66" s="109"/>
      <c r="U66" s="109"/>
      <c r="V66" s="109"/>
      <c r="W66" s="109"/>
      <c r="X66" s="109"/>
      <c r="Y66" s="36">
        <v>2.1</v>
      </c>
      <c r="Z66" s="5" t="s">
        <v>449</v>
      </c>
      <c r="AA66" s="5"/>
      <c r="AB66" s="5"/>
      <c r="AC66" s="5"/>
      <c r="AD66" s="5"/>
      <c r="AE66" s="5"/>
      <c r="AF66" s="5"/>
      <c r="AG66" s="5"/>
      <c r="AH66" s="5"/>
    </row>
    <row r="67" spans="1:34" ht="24" customHeight="1" x14ac:dyDescent="0.2">
      <c r="A67" s="490"/>
      <c r="B67" s="401"/>
      <c r="C67" s="278"/>
      <c r="D67" s="109" t="s">
        <v>60</v>
      </c>
      <c r="E67" s="109" t="s">
        <v>99</v>
      </c>
      <c r="F67" s="114">
        <v>5</v>
      </c>
      <c r="G67" s="114" t="s">
        <v>32</v>
      </c>
      <c r="H67" s="109">
        <v>15</v>
      </c>
      <c r="I67" s="114">
        <v>15</v>
      </c>
      <c r="J67" s="109">
        <v>30</v>
      </c>
      <c r="K67" s="109"/>
      <c r="L67" s="109"/>
      <c r="M67" s="109">
        <v>15</v>
      </c>
      <c r="N67" s="109"/>
      <c r="O67" s="109">
        <v>3</v>
      </c>
      <c r="P67" s="5" t="s">
        <v>447</v>
      </c>
      <c r="Q67" s="5"/>
      <c r="R67" s="109"/>
      <c r="S67" s="109"/>
      <c r="T67" s="109"/>
      <c r="U67" s="109"/>
      <c r="V67" s="109"/>
      <c r="W67" s="109"/>
      <c r="X67" s="109"/>
      <c r="Y67" s="36">
        <v>2.1</v>
      </c>
      <c r="Z67" s="5" t="s">
        <v>447</v>
      </c>
      <c r="AA67" s="5"/>
      <c r="AB67" s="5"/>
      <c r="AC67" s="5"/>
      <c r="AD67" s="5"/>
      <c r="AE67" s="5"/>
      <c r="AF67" s="5"/>
      <c r="AG67" s="5"/>
      <c r="AH67" s="5"/>
    </row>
    <row r="68" spans="1:34" ht="21" customHeight="1" x14ac:dyDescent="0.2">
      <c r="A68" s="490">
        <v>21</v>
      </c>
      <c r="B68" s="401" t="s">
        <v>653</v>
      </c>
      <c r="C68" s="278"/>
      <c r="D68" s="109" t="s">
        <v>60</v>
      </c>
      <c r="E68" s="109" t="s">
        <v>98</v>
      </c>
      <c r="F68" s="114">
        <v>5</v>
      </c>
      <c r="G68" s="114" t="s">
        <v>35</v>
      </c>
      <c r="H68" s="114">
        <v>16</v>
      </c>
      <c r="I68" s="114">
        <v>15</v>
      </c>
      <c r="J68" s="109">
        <v>30</v>
      </c>
      <c r="K68" s="109"/>
      <c r="L68" s="109"/>
      <c r="M68" s="109">
        <v>15</v>
      </c>
      <c r="N68" s="109"/>
      <c r="O68" s="109">
        <v>3</v>
      </c>
      <c r="P68" s="5" t="s">
        <v>441</v>
      </c>
      <c r="Q68" s="5"/>
      <c r="R68" s="109"/>
      <c r="S68" s="109"/>
      <c r="T68" s="109"/>
      <c r="U68" s="109"/>
      <c r="V68" s="109"/>
      <c r="W68" s="109"/>
      <c r="X68" s="109"/>
      <c r="Y68" s="36">
        <v>2.1</v>
      </c>
      <c r="Z68" s="5" t="s">
        <v>441</v>
      </c>
      <c r="AA68" s="5"/>
      <c r="AB68" s="5"/>
      <c r="AC68" s="5"/>
      <c r="AD68" s="5"/>
      <c r="AE68" s="5"/>
      <c r="AF68" s="5"/>
      <c r="AG68" s="5"/>
      <c r="AH68" s="5"/>
    </row>
    <row r="69" spans="1:34" ht="21" customHeight="1" x14ac:dyDescent="0.2">
      <c r="A69" s="490"/>
      <c r="B69" s="401"/>
      <c r="C69" s="278"/>
      <c r="D69" s="109" t="s">
        <v>60</v>
      </c>
      <c r="E69" s="109" t="s">
        <v>99</v>
      </c>
      <c r="F69" s="114">
        <v>5</v>
      </c>
      <c r="G69" s="114" t="s">
        <v>32</v>
      </c>
      <c r="H69" s="109">
        <v>15</v>
      </c>
      <c r="I69" s="114">
        <v>15</v>
      </c>
      <c r="J69" s="109">
        <v>30</v>
      </c>
      <c r="K69" s="109"/>
      <c r="L69" s="109"/>
      <c r="M69" s="109">
        <v>15</v>
      </c>
      <c r="N69" s="109"/>
      <c r="O69" s="109">
        <v>3</v>
      </c>
      <c r="P69" s="5" t="s">
        <v>446</v>
      </c>
      <c r="Q69" s="5"/>
      <c r="R69" s="109"/>
      <c r="S69" s="109"/>
      <c r="T69" s="109"/>
      <c r="U69" s="109"/>
      <c r="V69" s="109"/>
      <c r="W69" s="109"/>
      <c r="X69" s="109"/>
      <c r="Y69" s="36">
        <v>2.1</v>
      </c>
      <c r="Z69" s="5" t="s">
        <v>446</v>
      </c>
      <c r="AA69" s="5"/>
      <c r="AB69" s="5"/>
      <c r="AC69" s="5"/>
      <c r="AD69" s="5"/>
      <c r="AE69" s="5"/>
      <c r="AF69" s="5"/>
      <c r="AG69" s="5"/>
      <c r="AH69" s="5"/>
    </row>
    <row r="70" spans="1:34" ht="21" customHeight="1" x14ac:dyDescent="0.2">
      <c r="A70" s="113"/>
      <c r="B70" s="473" t="s">
        <v>354</v>
      </c>
      <c r="C70" s="279"/>
      <c r="D70" s="109" t="s">
        <v>60</v>
      </c>
      <c r="E70" s="109" t="s">
        <v>295</v>
      </c>
      <c r="F70" s="114">
        <v>5</v>
      </c>
      <c r="G70" s="114" t="s">
        <v>35</v>
      </c>
      <c r="H70" s="114">
        <v>13</v>
      </c>
      <c r="I70" s="114">
        <v>15</v>
      </c>
      <c r="J70" s="109">
        <v>30</v>
      </c>
      <c r="K70" s="109"/>
      <c r="L70" s="109"/>
      <c r="M70" s="109">
        <v>15</v>
      </c>
      <c r="N70" s="109"/>
      <c r="O70" s="109">
        <v>3</v>
      </c>
      <c r="P70" s="5" t="s">
        <v>450</v>
      </c>
      <c r="Q70" s="5"/>
      <c r="R70" s="109"/>
      <c r="S70" s="109"/>
      <c r="T70" s="109"/>
      <c r="U70" s="109"/>
      <c r="V70" s="109"/>
      <c r="W70" s="109"/>
      <c r="X70" s="109"/>
      <c r="Y70" s="36">
        <v>2.1</v>
      </c>
      <c r="Z70" s="5" t="s">
        <v>450</v>
      </c>
      <c r="AA70" s="5"/>
      <c r="AB70" s="5"/>
      <c r="AC70" s="5"/>
      <c r="AD70" s="5"/>
      <c r="AE70" s="5"/>
      <c r="AF70" s="5"/>
      <c r="AG70" s="5"/>
      <c r="AH70" s="5"/>
    </row>
    <row r="71" spans="1:34" ht="21" customHeight="1" x14ac:dyDescent="0.2">
      <c r="A71" s="113"/>
      <c r="B71" s="474"/>
      <c r="C71" s="280"/>
      <c r="D71" s="109" t="s">
        <v>60</v>
      </c>
      <c r="E71" s="109" t="s">
        <v>310</v>
      </c>
      <c r="F71" s="114">
        <v>5</v>
      </c>
      <c r="G71" s="114" t="s">
        <v>32</v>
      </c>
      <c r="H71" s="109">
        <v>10</v>
      </c>
      <c r="I71" s="114">
        <v>15</v>
      </c>
      <c r="J71" s="109">
        <v>30</v>
      </c>
      <c r="K71" s="109"/>
      <c r="L71" s="109"/>
      <c r="M71" s="109">
        <v>15</v>
      </c>
      <c r="N71" s="109"/>
      <c r="O71" s="109">
        <v>3</v>
      </c>
      <c r="P71" s="5" t="s">
        <v>443</v>
      </c>
      <c r="Q71" s="5"/>
      <c r="R71" s="109"/>
      <c r="S71" s="109"/>
      <c r="T71" s="109"/>
      <c r="U71" s="109"/>
      <c r="V71" s="109"/>
      <c r="W71" s="109"/>
      <c r="X71" s="109"/>
      <c r="Y71" s="36">
        <v>2.1</v>
      </c>
      <c r="Z71" s="5" t="s">
        <v>443</v>
      </c>
      <c r="AA71" s="5"/>
      <c r="AB71" s="5"/>
      <c r="AC71" s="5"/>
      <c r="AD71" s="5"/>
      <c r="AE71" s="5"/>
      <c r="AF71" s="5"/>
      <c r="AG71" s="5"/>
      <c r="AH71" s="5"/>
    </row>
    <row r="72" spans="1:34" ht="27" customHeight="1" x14ac:dyDescent="0.2">
      <c r="A72" s="111"/>
      <c r="B72" s="489" t="s">
        <v>194</v>
      </c>
      <c r="C72" s="284"/>
      <c r="D72" s="109" t="s">
        <v>60</v>
      </c>
      <c r="E72" s="109" t="s">
        <v>123</v>
      </c>
      <c r="F72" s="114">
        <v>5</v>
      </c>
      <c r="G72" s="114" t="s">
        <v>35</v>
      </c>
      <c r="H72" s="114">
        <v>24</v>
      </c>
      <c r="I72" s="114">
        <v>15</v>
      </c>
      <c r="J72" s="109">
        <v>30</v>
      </c>
      <c r="K72" s="109"/>
      <c r="L72" s="109"/>
      <c r="M72" s="109">
        <v>15</v>
      </c>
      <c r="N72" s="109"/>
      <c r="O72" s="109">
        <v>3</v>
      </c>
      <c r="P72" s="5" t="s">
        <v>449</v>
      </c>
      <c r="Q72" s="5"/>
      <c r="R72" s="109"/>
      <c r="S72" s="109"/>
      <c r="T72" s="109"/>
      <c r="U72" s="109"/>
      <c r="V72" s="109"/>
      <c r="W72" s="109"/>
      <c r="X72" s="109"/>
      <c r="Y72" s="36">
        <v>2.1</v>
      </c>
      <c r="Z72" s="5" t="s">
        <v>449</v>
      </c>
      <c r="AA72" s="5"/>
      <c r="AB72" s="5"/>
      <c r="AC72" s="5"/>
      <c r="AD72" s="5"/>
      <c r="AE72" s="5"/>
      <c r="AF72" s="5"/>
      <c r="AG72" s="5"/>
      <c r="AH72" s="5"/>
    </row>
    <row r="73" spans="1:34" ht="27" customHeight="1" x14ac:dyDescent="0.2">
      <c r="A73" s="111"/>
      <c r="B73" s="489"/>
      <c r="C73" s="284"/>
      <c r="D73" s="109" t="s">
        <v>60</v>
      </c>
      <c r="E73" s="109" t="s">
        <v>123</v>
      </c>
      <c r="F73" s="114">
        <v>5</v>
      </c>
      <c r="G73" s="114" t="s">
        <v>35</v>
      </c>
      <c r="H73" s="114"/>
      <c r="I73" s="114"/>
      <c r="J73" s="109">
        <v>30</v>
      </c>
      <c r="K73" s="109"/>
      <c r="L73" s="109"/>
      <c r="M73" s="109"/>
      <c r="N73" s="109"/>
      <c r="O73" s="109"/>
      <c r="P73" s="5" t="s">
        <v>449</v>
      </c>
      <c r="Q73" s="5"/>
      <c r="R73" s="109"/>
      <c r="S73" s="109"/>
      <c r="T73" s="109"/>
      <c r="U73" s="109"/>
      <c r="V73" s="109"/>
      <c r="W73" s="109"/>
      <c r="X73" s="109"/>
      <c r="Y73" s="36">
        <v>1</v>
      </c>
      <c r="Z73" s="5" t="s">
        <v>449</v>
      </c>
      <c r="AA73" s="5"/>
      <c r="AB73" s="5"/>
      <c r="AC73" s="5"/>
      <c r="AD73" s="5"/>
      <c r="AE73" s="5"/>
      <c r="AF73" s="5"/>
      <c r="AG73" s="5"/>
      <c r="AH73" s="5"/>
    </row>
    <row r="74" spans="1:34" ht="27" customHeight="1" x14ac:dyDescent="0.2">
      <c r="A74" s="111"/>
      <c r="B74" s="489"/>
      <c r="C74" s="284"/>
      <c r="D74" s="109" t="s">
        <v>60</v>
      </c>
      <c r="E74" s="109" t="s">
        <v>122</v>
      </c>
      <c r="F74" s="114">
        <v>5</v>
      </c>
      <c r="G74" s="114" t="s">
        <v>32</v>
      </c>
      <c r="H74" s="114">
        <v>21</v>
      </c>
      <c r="I74" s="114">
        <v>15</v>
      </c>
      <c r="J74" s="109">
        <v>30</v>
      </c>
      <c r="K74" s="109"/>
      <c r="L74" s="109"/>
      <c r="M74" s="109">
        <v>15</v>
      </c>
      <c r="N74" s="109"/>
      <c r="O74" s="109">
        <v>3</v>
      </c>
      <c r="P74" s="5" t="s">
        <v>447</v>
      </c>
      <c r="Q74" s="5"/>
      <c r="R74" s="109"/>
      <c r="S74" s="109"/>
      <c r="T74" s="109"/>
      <c r="U74" s="109"/>
      <c r="V74" s="109"/>
      <c r="W74" s="109"/>
      <c r="X74" s="109"/>
      <c r="Y74" s="36">
        <v>2.1</v>
      </c>
      <c r="Z74" s="5" t="s">
        <v>447</v>
      </c>
      <c r="AA74" s="5"/>
      <c r="AB74" s="5"/>
      <c r="AC74" s="5"/>
      <c r="AD74" s="5"/>
      <c r="AE74" s="5"/>
      <c r="AF74" s="5"/>
      <c r="AG74" s="5"/>
      <c r="AH74" s="5"/>
    </row>
    <row r="75" spans="1:34" ht="27" customHeight="1" x14ac:dyDescent="0.2">
      <c r="A75" s="111"/>
      <c r="B75" s="489"/>
      <c r="C75" s="284"/>
      <c r="D75" s="109" t="s">
        <v>60</v>
      </c>
      <c r="E75" s="109" t="s">
        <v>122</v>
      </c>
      <c r="F75" s="114">
        <v>5</v>
      </c>
      <c r="G75" s="114" t="s">
        <v>32</v>
      </c>
      <c r="H75" s="109"/>
      <c r="I75" s="114"/>
      <c r="J75" s="109">
        <v>30</v>
      </c>
      <c r="K75" s="109"/>
      <c r="L75" s="109"/>
      <c r="M75" s="109"/>
      <c r="N75" s="109"/>
      <c r="O75" s="109"/>
      <c r="P75" s="5" t="s">
        <v>447</v>
      </c>
      <c r="Q75" s="5"/>
      <c r="R75" s="109"/>
      <c r="S75" s="109"/>
      <c r="T75" s="109"/>
      <c r="U75" s="109"/>
      <c r="V75" s="109"/>
      <c r="W75" s="109"/>
      <c r="X75" s="109"/>
      <c r="Y75" s="36">
        <v>1</v>
      </c>
      <c r="Z75" s="5" t="s">
        <v>447</v>
      </c>
      <c r="AA75" s="5"/>
      <c r="AB75" s="5"/>
      <c r="AC75" s="5"/>
      <c r="AD75" s="5"/>
      <c r="AE75" s="5"/>
      <c r="AF75" s="5"/>
      <c r="AG75" s="5"/>
      <c r="AH75" s="5"/>
    </row>
    <row r="76" spans="1:34" ht="24" customHeight="1" x14ac:dyDescent="0.2">
      <c r="A76" s="490">
        <v>29</v>
      </c>
      <c r="B76" s="489" t="s">
        <v>124</v>
      </c>
      <c r="C76" s="284"/>
      <c r="D76" s="109" t="s">
        <v>60</v>
      </c>
      <c r="E76" s="109" t="s">
        <v>123</v>
      </c>
      <c r="F76" s="114">
        <v>5</v>
      </c>
      <c r="G76" s="114" t="s">
        <v>35</v>
      </c>
      <c r="H76" s="114">
        <v>24</v>
      </c>
      <c r="I76" s="114">
        <v>15</v>
      </c>
      <c r="J76" s="109">
        <v>30</v>
      </c>
      <c r="K76" s="109"/>
      <c r="L76" s="109"/>
      <c r="M76" s="109">
        <v>15</v>
      </c>
      <c r="N76" s="109"/>
      <c r="O76" s="109">
        <v>3</v>
      </c>
      <c r="P76" s="5" t="s">
        <v>442</v>
      </c>
      <c r="Q76" s="5"/>
      <c r="R76" s="109"/>
      <c r="S76" s="109"/>
      <c r="T76" s="109"/>
      <c r="U76" s="109"/>
      <c r="V76" s="109"/>
      <c r="W76" s="109"/>
      <c r="X76" s="109"/>
      <c r="Y76" s="36">
        <v>2.1</v>
      </c>
      <c r="Z76" s="5" t="s">
        <v>442</v>
      </c>
      <c r="AA76" s="5"/>
      <c r="AB76" s="5"/>
      <c r="AC76" s="5"/>
      <c r="AD76" s="5"/>
      <c r="AE76" s="5"/>
      <c r="AF76" s="5"/>
      <c r="AG76" s="5"/>
      <c r="AH76" s="5"/>
    </row>
    <row r="77" spans="1:34" ht="24" customHeight="1" x14ac:dyDescent="0.2">
      <c r="A77" s="490"/>
      <c r="B77" s="489"/>
      <c r="C77" s="284"/>
      <c r="D77" s="109" t="s">
        <v>60</v>
      </c>
      <c r="E77" s="109" t="s">
        <v>123</v>
      </c>
      <c r="F77" s="114">
        <v>5</v>
      </c>
      <c r="G77" s="114" t="s">
        <v>35</v>
      </c>
      <c r="H77" s="114"/>
      <c r="I77" s="114"/>
      <c r="J77" s="109">
        <v>30</v>
      </c>
      <c r="K77" s="109"/>
      <c r="L77" s="109"/>
      <c r="M77" s="109"/>
      <c r="N77" s="109"/>
      <c r="O77" s="109"/>
      <c r="P77" s="5" t="s">
        <v>442</v>
      </c>
      <c r="Q77" s="5"/>
      <c r="R77" s="109"/>
      <c r="S77" s="109"/>
      <c r="T77" s="109"/>
      <c r="U77" s="109"/>
      <c r="V77" s="109"/>
      <c r="W77" s="109"/>
      <c r="X77" s="109"/>
      <c r="Y77" s="36">
        <v>1</v>
      </c>
      <c r="Z77" s="5" t="s">
        <v>442</v>
      </c>
      <c r="AA77" s="5"/>
      <c r="AB77" s="5"/>
      <c r="AC77" s="5"/>
      <c r="AD77" s="5"/>
      <c r="AE77" s="5"/>
      <c r="AF77" s="5"/>
      <c r="AG77" s="5"/>
      <c r="AH77" s="5"/>
    </row>
    <row r="78" spans="1:34" ht="24" customHeight="1" x14ac:dyDescent="0.2">
      <c r="A78" s="490"/>
      <c r="B78" s="489"/>
      <c r="C78" s="284"/>
      <c r="D78" s="109" t="s">
        <v>60</v>
      </c>
      <c r="E78" s="109" t="s">
        <v>122</v>
      </c>
      <c r="F78" s="114">
        <v>5</v>
      </c>
      <c r="G78" s="114" t="s">
        <v>32</v>
      </c>
      <c r="H78" s="114">
        <v>21</v>
      </c>
      <c r="I78" s="114">
        <v>15</v>
      </c>
      <c r="J78" s="109">
        <v>30</v>
      </c>
      <c r="K78" s="109"/>
      <c r="L78" s="109"/>
      <c r="M78" s="109">
        <v>15</v>
      </c>
      <c r="N78" s="109"/>
      <c r="O78" s="109">
        <v>3</v>
      </c>
      <c r="P78" s="5" t="s">
        <v>452</v>
      </c>
      <c r="Q78" s="5"/>
      <c r="R78" s="109"/>
      <c r="S78" s="109"/>
      <c r="T78" s="109"/>
      <c r="U78" s="109"/>
      <c r="V78" s="109"/>
      <c r="W78" s="109"/>
      <c r="X78" s="109"/>
      <c r="Y78" s="36">
        <v>2.1</v>
      </c>
      <c r="Z78" s="5" t="s">
        <v>452</v>
      </c>
      <c r="AA78" s="5"/>
      <c r="AB78" s="5"/>
      <c r="AC78" s="5"/>
      <c r="AD78" s="5"/>
      <c r="AE78" s="5"/>
      <c r="AF78" s="5"/>
      <c r="AG78" s="5"/>
      <c r="AH78" s="5"/>
    </row>
    <row r="79" spans="1:34" ht="24" customHeight="1" x14ac:dyDescent="0.2">
      <c r="A79" s="490"/>
      <c r="B79" s="489"/>
      <c r="C79" s="284"/>
      <c r="D79" s="109" t="s">
        <v>60</v>
      </c>
      <c r="E79" s="109" t="s">
        <v>122</v>
      </c>
      <c r="F79" s="114">
        <v>5</v>
      </c>
      <c r="G79" s="114" t="s">
        <v>32</v>
      </c>
      <c r="H79" s="109"/>
      <c r="I79" s="114"/>
      <c r="J79" s="109">
        <v>30</v>
      </c>
      <c r="K79" s="109"/>
      <c r="L79" s="109"/>
      <c r="M79" s="109"/>
      <c r="N79" s="109"/>
      <c r="O79" s="109"/>
      <c r="P79" s="5" t="s">
        <v>452</v>
      </c>
      <c r="Q79" s="5"/>
      <c r="R79" s="109"/>
      <c r="S79" s="109"/>
      <c r="T79" s="109"/>
      <c r="U79" s="109"/>
      <c r="V79" s="109"/>
      <c r="W79" s="109"/>
      <c r="X79" s="109"/>
      <c r="Y79" s="36">
        <v>1</v>
      </c>
      <c r="Z79" s="5" t="s">
        <v>452</v>
      </c>
      <c r="AA79" s="5"/>
      <c r="AB79" s="5"/>
      <c r="AC79" s="5"/>
      <c r="AD79" s="5"/>
      <c r="AE79" s="5"/>
      <c r="AF79" s="5"/>
      <c r="AG79" s="5"/>
      <c r="AH79" s="5"/>
    </row>
    <row r="80" spans="1:34" ht="24" customHeight="1" x14ac:dyDescent="0.2">
      <c r="A80" s="490">
        <v>30</v>
      </c>
      <c r="B80" s="489" t="s">
        <v>77</v>
      </c>
      <c r="C80" s="284"/>
      <c r="D80" s="109" t="s">
        <v>60</v>
      </c>
      <c r="E80" s="109" t="s">
        <v>123</v>
      </c>
      <c r="F80" s="114">
        <v>5</v>
      </c>
      <c r="G80" s="114" t="s">
        <v>35</v>
      </c>
      <c r="H80" s="114">
        <v>24</v>
      </c>
      <c r="I80" s="114">
        <v>15</v>
      </c>
      <c r="J80" s="109">
        <v>30</v>
      </c>
      <c r="K80" s="109"/>
      <c r="L80" s="109"/>
      <c r="M80" s="109">
        <v>15</v>
      </c>
      <c r="N80" s="109"/>
      <c r="O80" s="109">
        <v>3</v>
      </c>
      <c r="P80" s="5" t="s">
        <v>442</v>
      </c>
      <c r="Q80" s="5"/>
      <c r="R80" s="109"/>
      <c r="S80" s="109"/>
      <c r="T80" s="109"/>
      <c r="U80" s="109"/>
      <c r="V80" s="109"/>
      <c r="W80" s="109"/>
      <c r="X80" s="109"/>
      <c r="Y80" s="36">
        <v>2.1</v>
      </c>
      <c r="Z80" s="5" t="s">
        <v>442</v>
      </c>
      <c r="AA80" s="5"/>
      <c r="AB80" s="5"/>
      <c r="AC80" s="5"/>
      <c r="AD80" s="5"/>
      <c r="AE80" s="5"/>
      <c r="AF80" s="5"/>
      <c r="AG80" s="5"/>
      <c r="AH80" s="5"/>
    </row>
    <row r="81" spans="1:34" ht="24" customHeight="1" x14ac:dyDescent="0.2">
      <c r="A81" s="490"/>
      <c r="B81" s="489"/>
      <c r="C81" s="284"/>
      <c r="D81" s="109" t="s">
        <v>60</v>
      </c>
      <c r="E81" s="109" t="s">
        <v>123</v>
      </c>
      <c r="F81" s="114">
        <v>5</v>
      </c>
      <c r="G81" s="114" t="s">
        <v>35</v>
      </c>
      <c r="H81" s="114"/>
      <c r="I81" s="114"/>
      <c r="J81" s="109">
        <v>30</v>
      </c>
      <c r="K81" s="109"/>
      <c r="L81" s="109"/>
      <c r="M81" s="109"/>
      <c r="N81" s="109"/>
      <c r="O81" s="109"/>
      <c r="P81" s="5" t="s">
        <v>442</v>
      </c>
      <c r="Q81" s="5"/>
      <c r="R81" s="109"/>
      <c r="S81" s="109"/>
      <c r="T81" s="109"/>
      <c r="U81" s="109"/>
      <c r="V81" s="109"/>
      <c r="W81" s="109"/>
      <c r="X81" s="109"/>
      <c r="Y81" s="36">
        <v>1</v>
      </c>
      <c r="Z81" s="5" t="s">
        <v>442</v>
      </c>
      <c r="AA81" s="5"/>
      <c r="AB81" s="5"/>
      <c r="AC81" s="5"/>
      <c r="AD81" s="5"/>
      <c r="AE81" s="5"/>
      <c r="AF81" s="5"/>
      <c r="AG81" s="5"/>
      <c r="AH81" s="5"/>
    </row>
    <row r="82" spans="1:34" ht="24" customHeight="1" x14ac:dyDescent="0.2">
      <c r="A82" s="490"/>
      <c r="B82" s="489"/>
      <c r="C82" s="284"/>
      <c r="D82" s="109" t="s">
        <v>60</v>
      </c>
      <c r="E82" s="109" t="s">
        <v>122</v>
      </c>
      <c r="F82" s="114">
        <v>5</v>
      </c>
      <c r="G82" s="114" t="s">
        <v>32</v>
      </c>
      <c r="H82" s="114">
        <v>21</v>
      </c>
      <c r="I82" s="114">
        <v>15</v>
      </c>
      <c r="J82" s="109">
        <v>30</v>
      </c>
      <c r="K82" s="109"/>
      <c r="L82" s="109"/>
      <c r="M82" s="109">
        <v>15</v>
      </c>
      <c r="N82" s="109"/>
      <c r="O82" s="109">
        <v>3</v>
      </c>
      <c r="P82" s="5" t="s">
        <v>443</v>
      </c>
      <c r="Q82" s="5"/>
      <c r="R82" s="109"/>
      <c r="S82" s="109"/>
      <c r="T82" s="109"/>
      <c r="U82" s="109"/>
      <c r="V82" s="109"/>
      <c r="W82" s="109"/>
      <c r="X82" s="109"/>
      <c r="Y82" s="36">
        <v>2.1</v>
      </c>
      <c r="Z82" s="5" t="s">
        <v>443</v>
      </c>
      <c r="AA82" s="5"/>
      <c r="AB82" s="5"/>
      <c r="AC82" s="5"/>
      <c r="AD82" s="5"/>
      <c r="AE82" s="5"/>
      <c r="AF82" s="5"/>
      <c r="AG82" s="5"/>
      <c r="AH82" s="5"/>
    </row>
    <row r="83" spans="1:34" ht="24" customHeight="1" x14ac:dyDescent="0.2">
      <c r="A83" s="490"/>
      <c r="B83" s="489"/>
      <c r="C83" s="284"/>
      <c r="D83" s="109" t="s">
        <v>60</v>
      </c>
      <c r="E83" s="109" t="s">
        <v>122</v>
      </c>
      <c r="F83" s="114">
        <v>5</v>
      </c>
      <c r="G83" s="114" t="s">
        <v>32</v>
      </c>
      <c r="H83" s="109"/>
      <c r="I83" s="114"/>
      <c r="J83" s="109">
        <v>30</v>
      </c>
      <c r="K83" s="109"/>
      <c r="L83" s="109"/>
      <c r="M83" s="109"/>
      <c r="N83" s="109"/>
      <c r="O83" s="109"/>
      <c r="P83" s="5" t="s">
        <v>443</v>
      </c>
      <c r="Q83" s="5"/>
      <c r="R83" s="109"/>
      <c r="S83" s="109"/>
      <c r="T83" s="109"/>
      <c r="U83" s="109"/>
      <c r="V83" s="109"/>
      <c r="W83" s="109"/>
      <c r="X83" s="109"/>
      <c r="Y83" s="36">
        <v>1</v>
      </c>
      <c r="Z83" s="5" t="s">
        <v>443</v>
      </c>
      <c r="AA83" s="5"/>
      <c r="AB83" s="5"/>
      <c r="AC83" s="5"/>
      <c r="AD83" s="5"/>
      <c r="AE83" s="5"/>
      <c r="AF83" s="5"/>
      <c r="AG83" s="5"/>
      <c r="AH83" s="5"/>
    </row>
    <row r="84" spans="1:34" ht="24" customHeight="1" x14ac:dyDescent="0.2">
      <c r="A84" s="490">
        <v>31</v>
      </c>
      <c r="B84" s="489" t="s">
        <v>229</v>
      </c>
      <c r="C84" s="284"/>
      <c r="D84" s="109" t="s">
        <v>60</v>
      </c>
      <c r="E84" s="109" t="s">
        <v>123</v>
      </c>
      <c r="F84" s="114">
        <v>5</v>
      </c>
      <c r="G84" s="114" t="s">
        <v>35</v>
      </c>
      <c r="H84" s="114">
        <v>24</v>
      </c>
      <c r="I84" s="114">
        <v>15</v>
      </c>
      <c r="J84" s="109">
        <v>30</v>
      </c>
      <c r="K84" s="109"/>
      <c r="L84" s="109"/>
      <c r="M84" s="109">
        <v>15</v>
      </c>
      <c r="N84" s="109"/>
      <c r="O84" s="109">
        <v>3</v>
      </c>
      <c r="P84" s="5" t="s">
        <v>442</v>
      </c>
      <c r="Q84" s="5"/>
      <c r="R84" s="109"/>
      <c r="S84" s="109"/>
      <c r="T84" s="109"/>
      <c r="U84" s="109"/>
      <c r="V84" s="109"/>
      <c r="W84" s="109"/>
      <c r="X84" s="109"/>
      <c r="Y84" s="36">
        <v>2.1</v>
      </c>
      <c r="Z84" s="5" t="s">
        <v>442</v>
      </c>
      <c r="AA84" s="5"/>
      <c r="AB84" s="5"/>
      <c r="AC84" s="5"/>
      <c r="AD84" s="5"/>
      <c r="AE84" s="5"/>
      <c r="AF84" s="5"/>
      <c r="AG84" s="5"/>
      <c r="AH84" s="5"/>
    </row>
    <row r="85" spans="1:34" ht="24" customHeight="1" x14ac:dyDescent="0.2">
      <c r="A85" s="490"/>
      <c r="B85" s="489"/>
      <c r="C85" s="284"/>
      <c r="D85" s="109" t="s">
        <v>60</v>
      </c>
      <c r="E85" s="109" t="s">
        <v>123</v>
      </c>
      <c r="F85" s="114">
        <v>5</v>
      </c>
      <c r="G85" s="114" t="s">
        <v>35</v>
      </c>
      <c r="H85" s="114"/>
      <c r="I85" s="114"/>
      <c r="J85" s="109">
        <v>30</v>
      </c>
      <c r="K85" s="109"/>
      <c r="L85" s="109"/>
      <c r="M85" s="109"/>
      <c r="N85" s="109"/>
      <c r="O85" s="109"/>
      <c r="P85" s="5" t="s">
        <v>442</v>
      </c>
      <c r="Q85" s="5"/>
      <c r="R85" s="109"/>
      <c r="S85" s="109"/>
      <c r="T85" s="109"/>
      <c r="U85" s="109"/>
      <c r="V85" s="109"/>
      <c r="W85" s="109"/>
      <c r="X85" s="109"/>
      <c r="Y85" s="36">
        <v>1</v>
      </c>
      <c r="Z85" s="5" t="s">
        <v>442</v>
      </c>
      <c r="AA85" s="5"/>
      <c r="AB85" s="5"/>
      <c r="AC85" s="5"/>
      <c r="AD85" s="5"/>
      <c r="AE85" s="5"/>
      <c r="AF85" s="5"/>
      <c r="AG85" s="5"/>
      <c r="AH85" s="5"/>
    </row>
    <row r="86" spans="1:34" ht="24" customHeight="1" x14ac:dyDescent="0.2">
      <c r="A86" s="490"/>
      <c r="B86" s="489"/>
      <c r="C86" s="284"/>
      <c r="D86" s="109" t="s">
        <v>60</v>
      </c>
      <c r="E86" s="109" t="s">
        <v>122</v>
      </c>
      <c r="F86" s="114">
        <v>5</v>
      </c>
      <c r="G86" s="114" t="s">
        <v>32</v>
      </c>
      <c r="H86" s="114">
        <v>21</v>
      </c>
      <c r="I86" s="114">
        <v>15</v>
      </c>
      <c r="J86" s="109">
        <v>30</v>
      </c>
      <c r="K86" s="109"/>
      <c r="L86" s="109"/>
      <c r="M86" s="109">
        <v>15</v>
      </c>
      <c r="N86" s="109"/>
      <c r="O86" s="109">
        <v>3</v>
      </c>
      <c r="P86" s="5" t="s">
        <v>446</v>
      </c>
      <c r="Q86" s="5"/>
      <c r="R86" s="109"/>
      <c r="S86" s="109"/>
      <c r="T86" s="109"/>
      <c r="U86" s="109"/>
      <c r="V86" s="109"/>
      <c r="W86" s="109"/>
      <c r="X86" s="109"/>
      <c r="Y86" s="36">
        <v>2.1</v>
      </c>
      <c r="Z86" s="5" t="s">
        <v>446</v>
      </c>
      <c r="AA86" s="5"/>
      <c r="AB86" s="5"/>
      <c r="AC86" s="5"/>
      <c r="AD86" s="5"/>
      <c r="AE86" s="5"/>
      <c r="AF86" s="5"/>
      <c r="AG86" s="5"/>
      <c r="AH86" s="5"/>
    </row>
    <row r="87" spans="1:34" ht="24" customHeight="1" x14ac:dyDescent="0.2">
      <c r="A87" s="490"/>
      <c r="B87" s="489"/>
      <c r="C87" s="284"/>
      <c r="D87" s="109" t="s">
        <v>60</v>
      </c>
      <c r="E87" s="109" t="s">
        <v>122</v>
      </c>
      <c r="F87" s="114">
        <v>5</v>
      </c>
      <c r="G87" s="114" t="s">
        <v>32</v>
      </c>
      <c r="H87" s="109"/>
      <c r="I87" s="114"/>
      <c r="J87" s="109">
        <v>30</v>
      </c>
      <c r="K87" s="109"/>
      <c r="L87" s="109"/>
      <c r="M87" s="109"/>
      <c r="N87" s="109"/>
      <c r="O87" s="109"/>
      <c r="P87" s="5" t="s">
        <v>446</v>
      </c>
      <c r="Q87" s="5"/>
      <c r="R87" s="109"/>
      <c r="S87" s="109"/>
      <c r="T87" s="109"/>
      <c r="U87" s="109"/>
      <c r="V87" s="109"/>
      <c r="W87" s="109"/>
      <c r="X87" s="109"/>
      <c r="Y87" s="36">
        <v>1</v>
      </c>
      <c r="Z87" s="5" t="s">
        <v>446</v>
      </c>
      <c r="AA87" s="5"/>
      <c r="AB87" s="5"/>
      <c r="AC87" s="5"/>
      <c r="AD87" s="5"/>
      <c r="AE87" s="5"/>
      <c r="AF87" s="5"/>
      <c r="AG87" s="5"/>
      <c r="AH87" s="5"/>
    </row>
    <row r="88" spans="1:34" ht="24" customHeight="1" x14ac:dyDescent="0.2">
      <c r="A88" s="490">
        <v>32</v>
      </c>
      <c r="B88" s="401" t="s">
        <v>136</v>
      </c>
      <c r="C88" s="278"/>
      <c r="D88" s="109" t="s">
        <v>60</v>
      </c>
      <c r="E88" s="109" t="s">
        <v>123</v>
      </c>
      <c r="F88" s="114">
        <v>5</v>
      </c>
      <c r="G88" s="114" t="s">
        <v>35</v>
      </c>
      <c r="H88" s="114">
        <v>24</v>
      </c>
      <c r="I88" s="114">
        <v>15</v>
      </c>
      <c r="J88" s="109">
        <v>30</v>
      </c>
      <c r="K88" s="109"/>
      <c r="L88" s="109"/>
      <c r="M88" s="109">
        <v>15</v>
      </c>
      <c r="N88" s="109"/>
      <c r="O88" s="109">
        <v>3</v>
      </c>
      <c r="P88" s="5" t="s">
        <v>441</v>
      </c>
      <c r="Q88" s="5"/>
      <c r="R88" s="109"/>
      <c r="S88" s="109"/>
      <c r="T88" s="109"/>
      <c r="U88" s="109"/>
      <c r="V88" s="109"/>
      <c r="W88" s="109"/>
      <c r="X88" s="109"/>
      <c r="Y88" s="36">
        <v>2.1</v>
      </c>
      <c r="Z88" s="5" t="s">
        <v>441</v>
      </c>
      <c r="AA88" s="5"/>
      <c r="AB88" s="5"/>
      <c r="AC88" s="5"/>
      <c r="AD88" s="5"/>
      <c r="AE88" s="5"/>
      <c r="AF88" s="5"/>
      <c r="AG88" s="5"/>
      <c r="AH88" s="5"/>
    </row>
    <row r="89" spans="1:34" ht="24" customHeight="1" x14ac:dyDescent="0.2">
      <c r="A89" s="490"/>
      <c r="B89" s="401"/>
      <c r="C89" s="278"/>
      <c r="D89" s="109" t="s">
        <v>60</v>
      </c>
      <c r="E89" s="109" t="s">
        <v>123</v>
      </c>
      <c r="F89" s="114">
        <v>5</v>
      </c>
      <c r="G89" s="114" t="s">
        <v>35</v>
      </c>
      <c r="H89" s="114"/>
      <c r="I89" s="114"/>
      <c r="J89" s="109">
        <v>30</v>
      </c>
      <c r="K89" s="109"/>
      <c r="L89" s="109"/>
      <c r="M89" s="109"/>
      <c r="N89" s="109"/>
      <c r="O89" s="109"/>
      <c r="P89" s="5" t="s">
        <v>441</v>
      </c>
      <c r="Q89" s="5"/>
      <c r="R89" s="109"/>
      <c r="S89" s="109"/>
      <c r="T89" s="109"/>
      <c r="U89" s="109"/>
      <c r="V89" s="109"/>
      <c r="W89" s="109"/>
      <c r="X89" s="109"/>
      <c r="Y89" s="36">
        <v>1</v>
      </c>
      <c r="Z89" s="5" t="s">
        <v>441</v>
      </c>
      <c r="AA89" s="5"/>
      <c r="AB89" s="5"/>
      <c r="AC89" s="5"/>
      <c r="AD89" s="5"/>
      <c r="AE89" s="5"/>
      <c r="AF89" s="5"/>
      <c r="AG89" s="5"/>
      <c r="AH89" s="5"/>
    </row>
    <row r="90" spans="1:34" s="7" customFormat="1" ht="23.25" customHeight="1" x14ac:dyDescent="0.2">
      <c r="A90" s="490"/>
      <c r="B90" s="401"/>
      <c r="C90" s="278"/>
      <c r="D90" s="109" t="s">
        <v>60</v>
      </c>
      <c r="E90" s="109" t="s">
        <v>122</v>
      </c>
      <c r="F90" s="114">
        <v>5</v>
      </c>
      <c r="G90" s="114" t="s">
        <v>32</v>
      </c>
      <c r="H90" s="114">
        <v>21</v>
      </c>
      <c r="I90" s="114">
        <v>15</v>
      </c>
      <c r="J90" s="109">
        <v>30</v>
      </c>
      <c r="K90" s="109"/>
      <c r="L90" s="109"/>
      <c r="M90" s="109">
        <v>15</v>
      </c>
      <c r="N90" s="109"/>
      <c r="O90" s="109">
        <v>3</v>
      </c>
      <c r="P90" s="4" t="s">
        <v>443</v>
      </c>
      <c r="Q90" s="4"/>
      <c r="R90" s="109"/>
      <c r="S90" s="109"/>
      <c r="T90" s="109"/>
      <c r="U90" s="109"/>
      <c r="V90" s="109"/>
      <c r="W90" s="109"/>
      <c r="X90" s="109"/>
      <c r="Y90" s="36">
        <v>2.1</v>
      </c>
      <c r="Z90" s="4" t="s">
        <v>443</v>
      </c>
      <c r="AA90" s="4"/>
      <c r="AB90" s="4"/>
      <c r="AC90" s="4"/>
      <c r="AD90" s="4"/>
      <c r="AE90" s="4"/>
      <c r="AF90" s="4"/>
      <c r="AG90" s="4"/>
      <c r="AH90" s="4"/>
    </row>
    <row r="91" spans="1:34" s="7" customFormat="1" ht="23.25" customHeight="1" x14ac:dyDescent="0.2">
      <c r="A91" s="490"/>
      <c r="B91" s="401"/>
      <c r="C91" s="278"/>
      <c r="D91" s="109" t="s">
        <v>60</v>
      </c>
      <c r="E91" s="109" t="s">
        <v>122</v>
      </c>
      <c r="F91" s="114">
        <v>5</v>
      </c>
      <c r="G91" s="114" t="s">
        <v>32</v>
      </c>
      <c r="H91" s="109"/>
      <c r="I91" s="114"/>
      <c r="J91" s="109">
        <v>30</v>
      </c>
      <c r="K91" s="109"/>
      <c r="L91" s="109"/>
      <c r="M91" s="109"/>
      <c r="N91" s="109"/>
      <c r="O91" s="109"/>
      <c r="P91" s="4" t="s">
        <v>443</v>
      </c>
      <c r="Q91" s="4"/>
      <c r="R91" s="109"/>
      <c r="S91" s="109"/>
      <c r="T91" s="109"/>
      <c r="U91" s="109"/>
      <c r="V91" s="109"/>
      <c r="W91" s="109"/>
      <c r="X91" s="109"/>
      <c r="Y91" s="36">
        <v>1</v>
      </c>
      <c r="Z91" s="4" t="s">
        <v>443</v>
      </c>
      <c r="AA91" s="4"/>
      <c r="AB91" s="4"/>
      <c r="AC91" s="4"/>
      <c r="AD91" s="4"/>
      <c r="AE91" s="4"/>
      <c r="AF91" s="4"/>
      <c r="AG91" s="4"/>
      <c r="AH91" s="4"/>
    </row>
    <row r="92" spans="1:34" s="7" customFormat="1" ht="23.25" customHeight="1" x14ac:dyDescent="0.2">
      <c r="A92" s="490">
        <v>33</v>
      </c>
      <c r="B92" s="401" t="s">
        <v>654</v>
      </c>
      <c r="C92" s="278"/>
      <c r="D92" s="109" t="s">
        <v>60</v>
      </c>
      <c r="E92" s="109" t="s">
        <v>123</v>
      </c>
      <c r="F92" s="114">
        <v>5</v>
      </c>
      <c r="G92" s="114" t="s">
        <v>35</v>
      </c>
      <c r="H92" s="114">
        <v>24</v>
      </c>
      <c r="I92" s="114">
        <v>15</v>
      </c>
      <c r="J92" s="109">
        <v>30</v>
      </c>
      <c r="K92" s="109"/>
      <c r="L92" s="109"/>
      <c r="M92" s="109">
        <v>15</v>
      </c>
      <c r="N92" s="109" t="s">
        <v>65</v>
      </c>
      <c r="O92" s="109">
        <v>3</v>
      </c>
      <c r="P92" s="4" t="s">
        <v>441</v>
      </c>
      <c r="Q92" s="4"/>
      <c r="R92" s="109"/>
      <c r="S92" s="109"/>
      <c r="T92" s="109"/>
      <c r="U92" s="109"/>
      <c r="V92" s="109"/>
      <c r="W92" s="109"/>
      <c r="X92" s="109"/>
      <c r="Y92" s="36">
        <v>2.1</v>
      </c>
      <c r="Z92" s="4" t="s">
        <v>441</v>
      </c>
      <c r="AA92" s="4"/>
      <c r="AB92" s="4"/>
      <c r="AC92" s="4"/>
      <c r="AD92" s="4"/>
      <c r="AE92" s="4"/>
      <c r="AF92" s="4"/>
      <c r="AG92" s="4"/>
      <c r="AH92" s="4"/>
    </row>
    <row r="93" spans="1:34" s="7" customFormat="1" ht="23.25" customHeight="1" x14ac:dyDescent="0.2">
      <c r="A93" s="490"/>
      <c r="B93" s="401"/>
      <c r="C93" s="278"/>
      <c r="D93" s="109" t="s">
        <v>60</v>
      </c>
      <c r="E93" s="109" t="s">
        <v>123</v>
      </c>
      <c r="F93" s="114">
        <v>5</v>
      </c>
      <c r="G93" s="114" t="s">
        <v>35</v>
      </c>
      <c r="H93" s="114"/>
      <c r="I93" s="114"/>
      <c r="J93" s="109">
        <v>30</v>
      </c>
      <c r="K93" s="109"/>
      <c r="L93" s="109"/>
      <c r="M93" s="109"/>
      <c r="N93" s="109" t="s">
        <v>65</v>
      </c>
      <c r="O93" s="109"/>
      <c r="P93" s="4" t="s">
        <v>441</v>
      </c>
      <c r="Q93" s="4"/>
      <c r="R93" s="109"/>
      <c r="S93" s="109"/>
      <c r="T93" s="109"/>
      <c r="U93" s="109"/>
      <c r="V93" s="109"/>
      <c r="W93" s="109"/>
      <c r="X93" s="109"/>
      <c r="Y93" s="36">
        <v>1</v>
      </c>
      <c r="Z93" s="4" t="s">
        <v>441</v>
      </c>
      <c r="AA93" s="4"/>
      <c r="AB93" s="4"/>
      <c r="AC93" s="4"/>
      <c r="AD93" s="4"/>
      <c r="AE93" s="4"/>
      <c r="AF93" s="4"/>
      <c r="AG93" s="4"/>
      <c r="AH93" s="4"/>
    </row>
    <row r="94" spans="1:34" s="7" customFormat="1" ht="23.25" customHeight="1" x14ac:dyDescent="0.2">
      <c r="A94" s="490"/>
      <c r="B94" s="401"/>
      <c r="C94" s="278"/>
      <c r="D94" s="109" t="s">
        <v>60</v>
      </c>
      <c r="E94" s="109" t="s">
        <v>122</v>
      </c>
      <c r="F94" s="114">
        <v>5</v>
      </c>
      <c r="G94" s="114" t="s">
        <v>32</v>
      </c>
      <c r="H94" s="114">
        <v>21</v>
      </c>
      <c r="I94" s="114">
        <v>15</v>
      </c>
      <c r="J94" s="109">
        <v>30</v>
      </c>
      <c r="K94" s="109"/>
      <c r="L94" s="109"/>
      <c r="M94" s="109">
        <v>15</v>
      </c>
      <c r="N94" s="109" t="s">
        <v>65</v>
      </c>
      <c r="O94" s="109">
        <v>3</v>
      </c>
      <c r="P94" s="5" t="s">
        <v>452</v>
      </c>
      <c r="Q94" s="4"/>
      <c r="R94" s="109"/>
      <c r="S94" s="109"/>
      <c r="T94" s="109"/>
      <c r="U94" s="109"/>
      <c r="V94" s="109"/>
      <c r="W94" s="109"/>
      <c r="X94" s="109"/>
      <c r="Y94" s="36">
        <v>2.1</v>
      </c>
      <c r="Z94" s="5" t="s">
        <v>452</v>
      </c>
      <c r="AA94" s="4"/>
      <c r="AB94" s="4"/>
      <c r="AC94" s="4"/>
      <c r="AD94" s="4"/>
      <c r="AE94" s="4"/>
      <c r="AF94" s="4"/>
      <c r="AG94" s="4"/>
      <c r="AH94" s="4"/>
    </row>
    <row r="95" spans="1:34" s="7" customFormat="1" ht="23.25" customHeight="1" x14ac:dyDescent="0.2">
      <c r="A95" s="490"/>
      <c r="B95" s="401"/>
      <c r="C95" s="278"/>
      <c r="D95" s="109" t="s">
        <v>60</v>
      </c>
      <c r="E95" s="109" t="s">
        <v>122</v>
      </c>
      <c r="F95" s="114">
        <v>5</v>
      </c>
      <c r="G95" s="114" t="s">
        <v>32</v>
      </c>
      <c r="H95" s="109"/>
      <c r="I95" s="114"/>
      <c r="J95" s="109">
        <v>30</v>
      </c>
      <c r="K95" s="109"/>
      <c r="L95" s="109"/>
      <c r="M95" s="109"/>
      <c r="N95" s="109" t="s">
        <v>65</v>
      </c>
      <c r="O95" s="109"/>
      <c r="P95" s="5" t="s">
        <v>452</v>
      </c>
      <c r="Q95" s="4"/>
      <c r="R95" s="109"/>
      <c r="S95" s="109"/>
      <c r="T95" s="109"/>
      <c r="U95" s="109"/>
      <c r="V95" s="109"/>
      <c r="W95" s="109"/>
      <c r="X95" s="109"/>
      <c r="Y95" s="36">
        <v>1</v>
      </c>
      <c r="Z95" s="5" t="s">
        <v>452</v>
      </c>
      <c r="AA95" s="4"/>
      <c r="AB95" s="4"/>
      <c r="AC95" s="4"/>
      <c r="AD95" s="4"/>
      <c r="AE95" s="4"/>
      <c r="AF95" s="4"/>
      <c r="AG95" s="4"/>
      <c r="AH95" s="4"/>
    </row>
    <row r="96" spans="1:34" s="7" customFormat="1" ht="23.25" customHeight="1" x14ac:dyDescent="0.2">
      <c r="A96" s="491">
        <v>34</v>
      </c>
      <c r="B96" s="472" t="s">
        <v>156</v>
      </c>
      <c r="C96" s="283"/>
      <c r="D96" s="93" t="s">
        <v>114</v>
      </c>
      <c r="E96" s="109" t="s">
        <v>155</v>
      </c>
      <c r="F96" s="123">
        <v>5</v>
      </c>
      <c r="G96" s="114" t="s">
        <v>35</v>
      </c>
      <c r="H96" s="109">
        <v>27</v>
      </c>
      <c r="I96" s="114">
        <v>15</v>
      </c>
      <c r="J96" s="109">
        <v>23</v>
      </c>
      <c r="K96" s="109">
        <v>7</v>
      </c>
      <c r="L96" s="109"/>
      <c r="M96" s="109">
        <v>15</v>
      </c>
      <c r="N96" s="109"/>
      <c r="O96" s="109">
        <v>3</v>
      </c>
      <c r="P96" s="109"/>
      <c r="Q96" s="295" t="s">
        <v>461</v>
      </c>
      <c r="R96" s="109"/>
      <c r="S96" s="109"/>
      <c r="T96" s="109"/>
      <c r="U96" s="109"/>
      <c r="V96" s="109"/>
      <c r="W96" s="109"/>
      <c r="X96" s="109"/>
      <c r="Y96" s="36">
        <v>2.1</v>
      </c>
      <c r="Z96" s="4" t="s">
        <v>455</v>
      </c>
      <c r="AA96" s="4"/>
      <c r="AB96" s="4"/>
      <c r="AC96" s="4"/>
      <c r="AD96" s="4"/>
      <c r="AE96" s="4"/>
      <c r="AF96" s="4"/>
      <c r="AG96" s="4"/>
      <c r="AH96" s="4"/>
    </row>
    <row r="97" spans="1:34" s="7" customFormat="1" ht="23.25" customHeight="1" x14ac:dyDescent="0.2">
      <c r="A97" s="495"/>
      <c r="B97" s="472"/>
      <c r="C97" s="283"/>
      <c r="D97" s="93" t="s">
        <v>114</v>
      </c>
      <c r="E97" s="109" t="s">
        <v>155</v>
      </c>
      <c r="F97" s="123">
        <v>5</v>
      </c>
      <c r="G97" s="114" t="s">
        <v>35</v>
      </c>
      <c r="H97" s="109"/>
      <c r="I97" s="114"/>
      <c r="J97" s="109"/>
      <c r="K97" s="109">
        <v>7</v>
      </c>
      <c r="L97" s="109"/>
      <c r="M97" s="109"/>
      <c r="N97" s="109"/>
      <c r="O97" s="109"/>
      <c r="P97" s="109"/>
      <c r="Q97" s="295" t="s">
        <v>461</v>
      </c>
      <c r="R97" s="109"/>
      <c r="S97" s="109"/>
      <c r="T97" s="109"/>
      <c r="U97" s="109"/>
      <c r="V97" s="109"/>
      <c r="W97" s="109"/>
      <c r="X97" s="109"/>
      <c r="Y97" s="36">
        <v>0.23</v>
      </c>
      <c r="Z97" s="4" t="s">
        <v>455</v>
      </c>
      <c r="AA97" s="4"/>
      <c r="AB97" s="4"/>
      <c r="AC97" s="4"/>
      <c r="AD97" s="4"/>
      <c r="AE97" s="4"/>
      <c r="AF97" s="4"/>
      <c r="AG97" s="4"/>
      <c r="AH97" s="4"/>
    </row>
    <row r="98" spans="1:34" s="7" customFormat="1" ht="23.25" customHeight="1" x14ac:dyDescent="0.2">
      <c r="A98" s="492"/>
      <c r="B98" s="472"/>
      <c r="C98" s="283"/>
      <c r="D98" s="93" t="s">
        <v>114</v>
      </c>
      <c r="E98" s="109" t="s">
        <v>150</v>
      </c>
      <c r="F98" s="123">
        <v>5</v>
      </c>
      <c r="G98" s="114" t="s">
        <v>32</v>
      </c>
      <c r="H98" s="109">
        <v>10</v>
      </c>
      <c r="I98" s="114">
        <v>15</v>
      </c>
      <c r="J98" s="109">
        <v>23</v>
      </c>
      <c r="K98" s="109">
        <v>7</v>
      </c>
      <c r="L98" s="109"/>
      <c r="M98" s="109">
        <v>15</v>
      </c>
      <c r="N98" s="109"/>
      <c r="O98" s="109">
        <v>3</v>
      </c>
      <c r="P98" s="4" t="s">
        <v>453</v>
      </c>
      <c r="Q98" s="109"/>
      <c r="R98" s="109"/>
      <c r="S98" s="109"/>
      <c r="T98" s="109"/>
      <c r="U98" s="109"/>
      <c r="V98" s="109"/>
      <c r="W98" s="109"/>
      <c r="X98" s="109"/>
      <c r="Y98" s="36">
        <v>2.1</v>
      </c>
      <c r="Z98" s="4" t="s">
        <v>453</v>
      </c>
      <c r="AA98" s="4"/>
      <c r="AB98" s="4"/>
      <c r="AC98" s="4"/>
      <c r="AD98" s="4"/>
      <c r="AE98" s="4"/>
      <c r="AF98" s="4"/>
      <c r="AG98" s="4"/>
      <c r="AH98" s="4"/>
    </row>
    <row r="99" spans="1:34" s="7" customFormat="1" ht="23.25" customHeight="1" x14ac:dyDescent="0.2">
      <c r="A99" s="491">
        <v>35</v>
      </c>
      <c r="B99" s="512" t="s">
        <v>655</v>
      </c>
      <c r="C99" s="292"/>
      <c r="D99" s="93" t="s">
        <v>114</v>
      </c>
      <c r="E99" s="109" t="s">
        <v>155</v>
      </c>
      <c r="F99" s="123">
        <v>5</v>
      </c>
      <c r="G99" s="114" t="s">
        <v>35</v>
      </c>
      <c r="H99" s="109">
        <v>27</v>
      </c>
      <c r="I99" s="114">
        <v>15</v>
      </c>
      <c r="J99" s="109">
        <v>30</v>
      </c>
      <c r="K99" s="109"/>
      <c r="L99" s="109"/>
      <c r="M99" s="109">
        <v>15</v>
      </c>
      <c r="N99" s="109"/>
      <c r="O99" s="109">
        <v>3</v>
      </c>
      <c r="P99" s="4" t="s">
        <v>456</v>
      </c>
      <c r="Q99" s="109"/>
      <c r="R99" s="109"/>
      <c r="S99" s="109"/>
      <c r="T99" s="109"/>
      <c r="U99" s="109"/>
      <c r="V99" s="109"/>
      <c r="W99" s="109"/>
      <c r="X99" s="109"/>
      <c r="Y99" s="36">
        <v>2.1</v>
      </c>
      <c r="Z99" s="4" t="s">
        <v>456</v>
      </c>
      <c r="AA99" s="4"/>
      <c r="AB99" s="4"/>
      <c r="AC99" s="4"/>
      <c r="AD99" s="4"/>
      <c r="AE99" s="4"/>
      <c r="AF99" s="4"/>
      <c r="AG99" s="4"/>
      <c r="AH99" s="4"/>
    </row>
    <row r="100" spans="1:34" s="7" customFormat="1" ht="23.25" customHeight="1" x14ac:dyDescent="0.2">
      <c r="A100" s="492"/>
      <c r="B100" s="513"/>
      <c r="C100" s="293"/>
      <c r="D100" s="93" t="s">
        <v>114</v>
      </c>
      <c r="E100" s="109" t="s">
        <v>150</v>
      </c>
      <c r="F100" s="123">
        <v>5</v>
      </c>
      <c r="G100" s="114" t="s">
        <v>32</v>
      </c>
      <c r="H100" s="109">
        <v>10</v>
      </c>
      <c r="I100" s="114">
        <v>15</v>
      </c>
      <c r="J100" s="109">
        <v>30</v>
      </c>
      <c r="K100" s="109"/>
      <c r="L100" s="109"/>
      <c r="M100" s="109">
        <v>15</v>
      </c>
      <c r="N100" s="109"/>
      <c r="O100" s="109">
        <v>3</v>
      </c>
      <c r="P100" s="4" t="s">
        <v>453</v>
      </c>
      <c r="Q100" s="109"/>
      <c r="R100" s="109"/>
      <c r="S100" s="109"/>
      <c r="T100" s="109"/>
      <c r="U100" s="109"/>
      <c r="V100" s="109"/>
      <c r="W100" s="109"/>
      <c r="X100" s="109"/>
      <c r="Y100" s="36">
        <v>2.1</v>
      </c>
      <c r="Z100" s="4" t="s">
        <v>453</v>
      </c>
      <c r="AA100" s="4"/>
      <c r="AB100" s="4"/>
      <c r="AC100" s="4"/>
      <c r="AD100" s="4"/>
      <c r="AE100" s="4"/>
      <c r="AF100" s="4"/>
      <c r="AG100" s="4"/>
      <c r="AH100" s="4"/>
    </row>
    <row r="101" spans="1:34" ht="24" customHeight="1" x14ac:dyDescent="0.2">
      <c r="A101" s="495"/>
      <c r="B101" s="476" t="s">
        <v>191</v>
      </c>
      <c r="C101" s="288"/>
      <c r="D101" s="93" t="s">
        <v>114</v>
      </c>
      <c r="E101" s="109" t="s">
        <v>185</v>
      </c>
      <c r="F101" s="109">
        <v>5</v>
      </c>
      <c r="G101" s="114" t="s">
        <v>35</v>
      </c>
      <c r="H101" s="109">
        <v>27</v>
      </c>
      <c r="I101" s="114">
        <v>15</v>
      </c>
      <c r="J101" s="109">
        <v>30</v>
      </c>
      <c r="K101" s="109"/>
      <c r="L101" s="109"/>
      <c r="M101" s="109">
        <v>15</v>
      </c>
      <c r="N101" s="109"/>
      <c r="O101" s="109">
        <v>3</v>
      </c>
      <c r="P101" s="5" t="s">
        <v>454</v>
      </c>
      <c r="Q101" s="109"/>
      <c r="R101" s="109"/>
      <c r="S101" s="109"/>
      <c r="T101" s="109"/>
      <c r="U101" s="109"/>
      <c r="V101" s="109"/>
      <c r="W101" s="109"/>
      <c r="X101" s="109"/>
      <c r="Y101" s="36">
        <v>2.1</v>
      </c>
      <c r="Z101" s="5" t="s">
        <v>454</v>
      </c>
      <c r="AA101" s="5"/>
      <c r="AB101" s="5"/>
      <c r="AC101" s="5"/>
      <c r="AD101" s="5"/>
      <c r="AE101" s="5"/>
      <c r="AF101" s="5"/>
      <c r="AG101" s="5"/>
      <c r="AH101" s="5"/>
    </row>
    <row r="102" spans="1:34" ht="24" customHeight="1" x14ac:dyDescent="0.2">
      <c r="A102" s="495"/>
      <c r="B102" s="470"/>
      <c r="C102" s="286"/>
      <c r="D102" s="93" t="s">
        <v>114</v>
      </c>
      <c r="E102" s="109" t="s">
        <v>186</v>
      </c>
      <c r="F102" s="109">
        <v>5</v>
      </c>
      <c r="G102" s="114" t="s">
        <v>35</v>
      </c>
      <c r="H102" s="109">
        <v>16</v>
      </c>
      <c r="I102" s="114"/>
      <c r="J102" s="109">
        <v>30</v>
      </c>
      <c r="K102" s="109"/>
      <c r="L102" s="109"/>
      <c r="M102" s="109"/>
      <c r="N102" s="109"/>
      <c r="O102" s="109">
        <v>3</v>
      </c>
      <c r="P102" s="5" t="s">
        <v>454</v>
      </c>
      <c r="Q102" s="109"/>
      <c r="R102" s="109"/>
      <c r="S102" s="109"/>
      <c r="T102" s="109"/>
      <c r="U102" s="109"/>
      <c r="V102" s="109"/>
      <c r="W102" s="109"/>
      <c r="X102" s="109"/>
      <c r="Y102" s="36">
        <v>1.1000000000000001</v>
      </c>
      <c r="Z102" s="5" t="s">
        <v>454</v>
      </c>
      <c r="AA102" s="5"/>
      <c r="AB102" s="5"/>
      <c r="AC102" s="5"/>
      <c r="AD102" s="5"/>
      <c r="AE102" s="5"/>
      <c r="AF102" s="5"/>
      <c r="AG102" s="5"/>
      <c r="AH102" s="5"/>
    </row>
    <row r="103" spans="1:34" ht="24" customHeight="1" x14ac:dyDescent="0.2">
      <c r="A103" s="495"/>
      <c r="B103" s="471"/>
      <c r="C103" s="287"/>
      <c r="D103" s="93" t="s">
        <v>114</v>
      </c>
      <c r="E103" s="109" t="s">
        <v>187</v>
      </c>
      <c r="F103" s="109">
        <v>5</v>
      </c>
      <c r="G103" s="114" t="s">
        <v>32</v>
      </c>
      <c r="H103" s="109">
        <v>13</v>
      </c>
      <c r="I103" s="114">
        <v>15</v>
      </c>
      <c r="J103" s="109">
        <v>30</v>
      </c>
      <c r="K103" s="109"/>
      <c r="L103" s="109"/>
      <c r="M103" s="109">
        <v>15</v>
      </c>
      <c r="N103" s="109"/>
      <c r="O103" s="109">
        <v>3</v>
      </c>
      <c r="P103" s="5" t="s">
        <v>459</v>
      </c>
      <c r="Q103" s="109"/>
      <c r="R103" s="109"/>
      <c r="S103" s="109"/>
      <c r="T103" s="109"/>
      <c r="U103" s="109"/>
      <c r="V103" s="109"/>
      <c r="W103" s="109"/>
      <c r="X103" s="109"/>
      <c r="Y103" s="36">
        <v>2.1</v>
      </c>
      <c r="Z103" s="5" t="s">
        <v>459</v>
      </c>
      <c r="AA103" s="5"/>
      <c r="AB103" s="5"/>
      <c r="AC103" s="5"/>
      <c r="AD103" s="5"/>
      <c r="AE103" s="5"/>
      <c r="AF103" s="5"/>
      <c r="AG103" s="5"/>
      <c r="AH103" s="5"/>
    </row>
    <row r="104" spans="1:34" ht="24" customHeight="1" x14ac:dyDescent="0.2">
      <c r="A104" s="491">
        <v>43</v>
      </c>
      <c r="B104" s="472" t="s">
        <v>266</v>
      </c>
      <c r="C104" s="283"/>
      <c r="D104" s="93" t="s">
        <v>114</v>
      </c>
      <c r="E104" s="109" t="s">
        <v>185</v>
      </c>
      <c r="F104" s="109">
        <v>5</v>
      </c>
      <c r="G104" s="114" t="s">
        <v>35</v>
      </c>
      <c r="H104" s="109">
        <v>27</v>
      </c>
      <c r="I104" s="114">
        <v>15</v>
      </c>
      <c r="J104" s="109">
        <v>30</v>
      </c>
      <c r="K104" s="109"/>
      <c r="L104" s="109"/>
      <c r="M104" s="109">
        <v>15</v>
      </c>
      <c r="N104" s="109"/>
      <c r="O104" s="109">
        <v>3</v>
      </c>
      <c r="P104" s="5" t="s">
        <v>450</v>
      </c>
      <c r="Q104" s="109"/>
      <c r="R104" s="109"/>
      <c r="S104" s="109"/>
      <c r="T104" s="109"/>
      <c r="U104" s="109"/>
      <c r="V104" s="109"/>
      <c r="W104" s="109"/>
      <c r="X104" s="109"/>
      <c r="Y104" s="36">
        <v>2.1</v>
      </c>
      <c r="Z104" s="5" t="s">
        <v>450</v>
      </c>
      <c r="AA104" s="5"/>
      <c r="AB104" s="5"/>
      <c r="AC104" s="5"/>
      <c r="AD104" s="5"/>
      <c r="AE104" s="5"/>
      <c r="AF104" s="5"/>
      <c r="AG104" s="5"/>
      <c r="AH104" s="5"/>
    </row>
    <row r="105" spans="1:34" ht="24" customHeight="1" x14ac:dyDescent="0.2">
      <c r="A105" s="495"/>
      <c r="B105" s="472"/>
      <c r="C105" s="283"/>
      <c r="D105" s="93" t="s">
        <v>114</v>
      </c>
      <c r="E105" s="109" t="s">
        <v>186</v>
      </c>
      <c r="F105" s="109">
        <v>5</v>
      </c>
      <c r="G105" s="114" t="s">
        <v>35</v>
      </c>
      <c r="H105" s="109">
        <v>16</v>
      </c>
      <c r="I105" s="114"/>
      <c r="J105" s="109">
        <v>30</v>
      </c>
      <c r="K105" s="109"/>
      <c r="L105" s="109"/>
      <c r="M105" s="109"/>
      <c r="N105" s="109"/>
      <c r="O105" s="109">
        <v>3</v>
      </c>
      <c r="P105" s="5" t="s">
        <v>450</v>
      </c>
      <c r="Q105" s="109"/>
      <c r="R105" s="109"/>
      <c r="S105" s="109"/>
      <c r="T105" s="109"/>
      <c r="U105" s="109"/>
      <c r="V105" s="109"/>
      <c r="W105" s="109"/>
      <c r="X105" s="109"/>
      <c r="Y105" s="36">
        <v>1.1000000000000001</v>
      </c>
      <c r="Z105" s="5" t="s">
        <v>450</v>
      </c>
      <c r="AA105" s="5"/>
      <c r="AB105" s="5"/>
      <c r="AC105" s="5"/>
      <c r="AD105" s="5"/>
      <c r="AE105" s="5"/>
      <c r="AF105" s="5"/>
      <c r="AG105" s="5"/>
      <c r="AH105" s="5"/>
    </row>
    <row r="106" spans="1:34" ht="24" customHeight="1" x14ac:dyDescent="0.2">
      <c r="A106" s="492"/>
      <c r="B106" s="472"/>
      <c r="C106" s="283"/>
      <c r="D106" s="93" t="s">
        <v>114</v>
      </c>
      <c r="E106" s="109" t="s">
        <v>187</v>
      </c>
      <c r="F106" s="109">
        <v>5</v>
      </c>
      <c r="G106" s="114" t="s">
        <v>32</v>
      </c>
      <c r="H106" s="109">
        <v>13</v>
      </c>
      <c r="I106" s="114">
        <v>15</v>
      </c>
      <c r="J106" s="109">
        <v>30</v>
      </c>
      <c r="K106" s="109"/>
      <c r="L106" s="109"/>
      <c r="M106" s="109">
        <v>15</v>
      </c>
      <c r="N106" s="109"/>
      <c r="O106" s="109">
        <v>3</v>
      </c>
      <c r="P106" s="196" t="s">
        <v>443</v>
      </c>
      <c r="Q106" s="109"/>
      <c r="R106" s="109"/>
      <c r="S106" s="109"/>
      <c r="T106" s="109"/>
      <c r="U106" s="109"/>
      <c r="V106" s="109"/>
      <c r="W106" s="109"/>
      <c r="X106" s="109"/>
      <c r="Y106" s="36">
        <v>2.1</v>
      </c>
      <c r="Z106" s="196" t="s">
        <v>443</v>
      </c>
      <c r="AA106" s="5"/>
      <c r="AB106" s="5"/>
      <c r="AC106" s="5"/>
      <c r="AD106" s="5"/>
      <c r="AE106" s="5"/>
      <c r="AF106" s="5"/>
      <c r="AG106" s="5"/>
      <c r="AH106" s="5"/>
    </row>
    <row r="107" spans="1:34" ht="24" customHeight="1" x14ac:dyDescent="0.2">
      <c r="A107" s="491">
        <v>44</v>
      </c>
      <c r="B107" s="472" t="s">
        <v>267</v>
      </c>
      <c r="C107" s="283"/>
      <c r="D107" s="93" t="s">
        <v>114</v>
      </c>
      <c r="E107" s="109" t="s">
        <v>185</v>
      </c>
      <c r="F107" s="109">
        <v>5</v>
      </c>
      <c r="G107" s="114" t="s">
        <v>35</v>
      </c>
      <c r="H107" s="109">
        <v>27</v>
      </c>
      <c r="I107" s="114">
        <v>15</v>
      </c>
      <c r="J107" s="109">
        <v>30</v>
      </c>
      <c r="K107" s="109"/>
      <c r="L107" s="109"/>
      <c r="M107" s="109">
        <v>15</v>
      </c>
      <c r="N107" s="109"/>
      <c r="O107" s="109">
        <v>3</v>
      </c>
      <c r="P107" s="5" t="s">
        <v>450</v>
      </c>
      <c r="Q107" s="109"/>
      <c r="R107" s="109"/>
      <c r="S107" s="109"/>
      <c r="T107" s="109"/>
      <c r="U107" s="109"/>
      <c r="V107" s="109"/>
      <c r="W107" s="109"/>
      <c r="X107" s="109"/>
      <c r="Y107" s="36">
        <v>2.1</v>
      </c>
      <c r="Z107" s="5" t="s">
        <v>450</v>
      </c>
      <c r="AA107" s="5"/>
      <c r="AB107" s="5"/>
      <c r="AC107" s="5"/>
      <c r="AD107" s="5"/>
      <c r="AE107" s="5"/>
      <c r="AF107" s="5"/>
      <c r="AG107" s="5"/>
      <c r="AH107" s="5"/>
    </row>
    <row r="108" spans="1:34" ht="24" customHeight="1" x14ac:dyDescent="0.2">
      <c r="A108" s="495"/>
      <c r="B108" s="472"/>
      <c r="C108" s="283"/>
      <c r="D108" s="93" t="s">
        <v>114</v>
      </c>
      <c r="E108" s="109" t="s">
        <v>186</v>
      </c>
      <c r="F108" s="109">
        <v>5</v>
      </c>
      <c r="G108" s="114" t="s">
        <v>35</v>
      </c>
      <c r="H108" s="109">
        <v>16</v>
      </c>
      <c r="I108" s="114"/>
      <c r="J108" s="109">
        <v>30</v>
      </c>
      <c r="K108" s="109"/>
      <c r="L108" s="109"/>
      <c r="M108" s="109"/>
      <c r="N108" s="109"/>
      <c r="O108" s="109">
        <v>3</v>
      </c>
      <c r="P108" s="5" t="s">
        <v>450</v>
      </c>
      <c r="Q108" s="109"/>
      <c r="R108" s="109"/>
      <c r="S108" s="109"/>
      <c r="T108" s="109"/>
      <c r="U108" s="109"/>
      <c r="V108" s="109"/>
      <c r="W108" s="109"/>
      <c r="X108" s="109"/>
      <c r="Y108" s="36">
        <v>1.1000000000000001</v>
      </c>
      <c r="Z108" s="5" t="s">
        <v>450</v>
      </c>
      <c r="AA108" s="5"/>
      <c r="AB108" s="5"/>
      <c r="AC108" s="5"/>
      <c r="AD108" s="5"/>
      <c r="AE108" s="5"/>
      <c r="AF108" s="5"/>
      <c r="AG108" s="5"/>
      <c r="AH108" s="5"/>
    </row>
    <row r="109" spans="1:34" ht="24" customHeight="1" x14ac:dyDescent="0.2">
      <c r="A109" s="492"/>
      <c r="B109" s="472"/>
      <c r="C109" s="283"/>
      <c r="D109" s="93" t="s">
        <v>114</v>
      </c>
      <c r="E109" s="109" t="s">
        <v>187</v>
      </c>
      <c r="F109" s="109">
        <v>5</v>
      </c>
      <c r="G109" s="114" t="s">
        <v>32</v>
      </c>
      <c r="H109" s="109">
        <v>13</v>
      </c>
      <c r="I109" s="114">
        <v>15</v>
      </c>
      <c r="J109" s="109">
        <v>30</v>
      </c>
      <c r="K109" s="109"/>
      <c r="L109" s="109"/>
      <c r="M109" s="109">
        <v>15</v>
      </c>
      <c r="N109" s="109"/>
      <c r="O109" s="109">
        <v>3</v>
      </c>
      <c r="P109" s="5" t="s">
        <v>451</v>
      </c>
      <c r="Q109" s="109"/>
      <c r="R109" s="109"/>
      <c r="S109" s="109"/>
      <c r="T109" s="109"/>
      <c r="U109" s="109"/>
      <c r="V109" s="109"/>
      <c r="W109" s="109"/>
      <c r="X109" s="109"/>
      <c r="Y109" s="36">
        <v>2.1</v>
      </c>
      <c r="Z109" s="5" t="s">
        <v>451</v>
      </c>
      <c r="AA109" s="5"/>
      <c r="AB109" s="5"/>
      <c r="AC109" s="5"/>
      <c r="AD109" s="5"/>
      <c r="AE109" s="5"/>
      <c r="AF109" s="5"/>
      <c r="AG109" s="5"/>
      <c r="AH109" s="5"/>
    </row>
    <row r="110" spans="1:34" ht="24" customHeight="1" x14ac:dyDescent="0.2">
      <c r="A110" s="491">
        <v>45</v>
      </c>
      <c r="B110" s="472" t="s">
        <v>268</v>
      </c>
      <c r="C110" s="283"/>
      <c r="D110" s="93" t="s">
        <v>114</v>
      </c>
      <c r="E110" s="109" t="s">
        <v>185</v>
      </c>
      <c r="F110" s="109">
        <v>5</v>
      </c>
      <c r="G110" s="114" t="s">
        <v>35</v>
      </c>
      <c r="H110" s="109">
        <v>27</v>
      </c>
      <c r="I110" s="114">
        <v>15</v>
      </c>
      <c r="J110" s="109">
        <v>30</v>
      </c>
      <c r="K110" s="109"/>
      <c r="L110" s="109"/>
      <c r="M110" s="109">
        <v>15</v>
      </c>
      <c r="N110" s="109"/>
      <c r="O110" s="109">
        <v>3</v>
      </c>
      <c r="P110" s="5" t="s">
        <v>454</v>
      </c>
      <c r="Q110" s="109"/>
      <c r="R110" s="109"/>
      <c r="S110" s="109"/>
      <c r="T110" s="109"/>
      <c r="U110" s="109"/>
      <c r="V110" s="109"/>
      <c r="W110" s="109"/>
      <c r="X110" s="109"/>
      <c r="Y110" s="36">
        <v>2.1</v>
      </c>
      <c r="Z110" s="5" t="s">
        <v>454</v>
      </c>
      <c r="AA110" s="5"/>
      <c r="AB110" s="5"/>
      <c r="AC110" s="5"/>
      <c r="AD110" s="5"/>
      <c r="AE110" s="5"/>
      <c r="AF110" s="5"/>
      <c r="AG110" s="5"/>
      <c r="AH110" s="5"/>
    </row>
    <row r="111" spans="1:34" ht="24" customHeight="1" x14ac:dyDescent="0.2">
      <c r="A111" s="495"/>
      <c r="B111" s="472"/>
      <c r="C111" s="283"/>
      <c r="D111" s="93" t="s">
        <v>114</v>
      </c>
      <c r="E111" s="109" t="s">
        <v>186</v>
      </c>
      <c r="F111" s="109">
        <v>5</v>
      </c>
      <c r="G111" s="114" t="s">
        <v>35</v>
      </c>
      <c r="H111" s="109">
        <v>16</v>
      </c>
      <c r="I111" s="114"/>
      <c r="J111" s="109">
        <v>30</v>
      </c>
      <c r="K111" s="109"/>
      <c r="L111" s="109"/>
      <c r="M111" s="109"/>
      <c r="N111" s="109"/>
      <c r="O111" s="109">
        <v>3</v>
      </c>
      <c r="P111" s="5" t="s">
        <v>454</v>
      </c>
      <c r="Q111" s="109"/>
      <c r="R111" s="109"/>
      <c r="S111" s="109"/>
      <c r="T111" s="109"/>
      <c r="U111" s="109"/>
      <c r="V111" s="109"/>
      <c r="W111" s="109"/>
      <c r="X111" s="109"/>
      <c r="Y111" s="36">
        <v>1.1000000000000001</v>
      </c>
      <c r="Z111" s="5" t="s">
        <v>454</v>
      </c>
      <c r="AA111" s="5"/>
      <c r="AB111" s="5"/>
      <c r="AC111" s="5"/>
      <c r="AD111" s="5"/>
      <c r="AE111" s="5"/>
      <c r="AF111" s="5"/>
      <c r="AG111" s="5"/>
      <c r="AH111" s="5"/>
    </row>
    <row r="112" spans="1:34" ht="24" customHeight="1" x14ac:dyDescent="0.2">
      <c r="A112" s="492"/>
      <c r="B112" s="472"/>
      <c r="C112" s="283"/>
      <c r="D112" s="93" t="s">
        <v>114</v>
      </c>
      <c r="E112" s="109" t="s">
        <v>187</v>
      </c>
      <c r="F112" s="109">
        <v>5</v>
      </c>
      <c r="G112" s="114" t="s">
        <v>32</v>
      </c>
      <c r="H112" s="109">
        <v>13</v>
      </c>
      <c r="I112" s="114">
        <v>15</v>
      </c>
      <c r="J112" s="109">
        <v>30</v>
      </c>
      <c r="K112" s="109"/>
      <c r="L112" s="109"/>
      <c r="M112" s="109">
        <v>15</v>
      </c>
      <c r="N112" s="109"/>
      <c r="O112" s="109">
        <v>3</v>
      </c>
      <c r="P112" s="5" t="s">
        <v>453</v>
      </c>
      <c r="Q112" s="109"/>
      <c r="R112" s="109"/>
      <c r="S112" s="109"/>
      <c r="T112" s="109"/>
      <c r="U112" s="109"/>
      <c r="V112" s="109"/>
      <c r="W112" s="109"/>
      <c r="X112" s="109"/>
      <c r="Y112" s="36">
        <v>2.1</v>
      </c>
      <c r="Z112" s="5" t="s">
        <v>453</v>
      </c>
      <c r="AA112" s="5"/>
      <c r="AB112" s="5"/>
      <c r="AC112" s="5"/>
      <c r="AD112" s="5"/>
      <c r="AE112" s="5"/>
      <c r="AF112" s="5"/>
      <c r="AG112" s="5"/>
      <c r="AH112" s="5"/>
    </row>
    <row r="113" spans="1:34" s="18" customFormat="1" ht="25.5" customHeight="1" x14ac:dyDescent="0.2">
      <c r="A113" s="454">
        <v>47</v>
      </c>
      <c r="B113" s="401" t="s">
        <v>218</v>
      </c>
      <c r="C113" s="278"/>
      <c r="D113" s="93" t="s">
        <v>52</v>
      </c>
      <c r="E113" s="114" t="s">
        <v>129</v>
      </c>
      <c r="F113" s="114">
        <v>5</v>
      </c>
      <c r="G113" s="114" t="s">
        <v>35</v>
      </c>
      <c r="H113" s="114">
        <v>27</v>
      </c>
      <c r="I113" s="109">
        <v>15</v>
      </c>
      <c r="J113" s="109">
        <v>30</v>
      </c>
      <c r="K113" s="109"/>
      <c r="L113" s="109"/>
      <c r="M113" s="109">
        <v>15</v>
      </c>
      <c r="N113" s="109"/>
      <c r="O113" s="109">
        <v>3</v>
      </c>
      <c r="P113" s="178" t="s">
        <v>456</v>
      </c>
      <c r="Q113" s="109"/>
      <c r="R113" s="109"/>
      <c r="S113" s="109"/>
      <c r="T113" s="109"/>
      <c r="U113" s="109"/>
      <c r="V113" s="109"/>
      <c r="W113" s="109"/>
      <c r="X113" s="109"/>
      <c r="Y113" s="36">
        <v>2.1</v>
      </c>
      <c r="Z113" s="178" t="s">
        <v>456</v>
      </c>
    </row>
    <row r="114" spans="1:34" s="18" customFormat="1" ht="25.5" customHeight="1" x14ac:dyDescent="0.2">
      <c r="A114" s="456"/>
      <c r="B114" s="401"/>
      <c r="C114" s="278"/>
      <c r="D114" s="93" t="s">
        <v>52</v>
      </c>
      <c r="E114" s="114" t="s">
        <v>130</v>
      </c>
      <c r="F114" s="114">
        <v>5</v>
      </c>
      <c r="G114" s="114" t="s">
        <v>32</v>
      </c>
      <c r="H114" s="114">
        <v>25</v>
      </c>
      <c r="I114" s="109">
        <v>15</v>
      </c>
      <c r="J114" s="109">
        <v>30</v>
      </c>
      <c r="K114" s="109"/>
      <c r="L114" s="109"/>
      <c r="M114" s="109">
        <v>15</v>
      </c>
      <c r="N114" s="109"/>
      <c r="O114" s="109">
        <v>3</v>
      </c>
      <c r="P114" s="178" t="s">
        <v>456</v>
      </c>
      <c r="Q114" s="109"/>
      <c r="R114" s="109"/>
      <c r="S114" s="109"/>
      <c r="T114" s="109"/>
      <c r="U114" s="109"/>
      <c r="V114" s="109"/>
      <c r="W114" s="109"/>
      <c r="X114" s="109"/>
      <c r="Y114" s="36">
        <v>2.1</v>
      </c>
      <c r="Z114" s="178" t="s">
        <v>456</v>
      </c>
    </row>
    <row r="115" spans="1:34" s="18" customFormat="1" ht="25.5" customHeight="1" x14ac:dyDescent="0.2">
      <c r="A115" s="180"/>
      <c r="B115" s="402" t="s">
        <v>355</v>
      </c>
      <c r="C115" s="402" t="s">
        <v>667</v>
      </c>
      <c r="D115" s="93" t="s">
        <v>52</v>
      </c>
      <c r="E115" s="179" t="s">
        <v>97</v>
      </c>
      <c r="F115" s="181">
        <v>5</v>
      </c>
      <c r="G115" s="179" t="s">
        <v>35</v>
      </c>
      <c r="H115" s="179">
        <v>27</v>
      </c>
      <c r="I115" s="179">
        <v>30</v>
      </c>
      <c r="J115" s="181"/>
      <c r="K115" s="181"/>
      <c r="L115" s="181"/>
      <c r="M115" s="181"/>
      <c r="N115" s="181"/>
      <c r="O115" s="181"/>
      <c r="P115" s="178" t="s">
        <v>440</v>
      </c>
      <c r="Q115" s="181"/>
      <c r="R115" s="181"/>
      <c r="S115" s="181"/>
      <c r="T115" s="181"/>
      <c r="U115" s="181"/>
      <c r="V115" s="181"/>
      <c r="W115" s="181"/>
      <c r="X115" s="181"/>
      <c r="Y115" s="36"/>
      <c r="Z115" s="178" t="s">
        <v>440</v>
      </c>
    </row>
    <row r="116" spans="1:34" s="18" customFormat="1" ht="25.5" customHeight="1" x14ac:dyDescent="0.2">
      <c r="A116" s="180"/>
      <c r="B116" s="403"/>
      <c r="C116" s="403"/>
      <c r="D116" s="93" t="s">
        <v>52</v>
      </c>
      <c r="E116" s="179" t="s">
        <v>167</v>
      </c>
      <c r="F116" s="181">
        <v>5</v>
      </c>
      <c r="G116" s="179" t="s">
        <v>35</v>
      </c>
      <c r="H116" s="179">
        <v>28</v>
      </c>
      <c r="I116" s="179"/>
      <c r="J116" s="181"/>
      <c r="K116" s="181"/>
      <c r="L116" s="181"/>
      <c r="M116" s="181"/>
      <c r="N116" s="181"/>
      <c r="O116" s="181"/>
      <c r="P116" s="178" t="s">
        <v>440</v>
      </c>
      <c r="Q116" s="181"/>
      <c r="R116" s="181"/>
      <c r="S116" s="181"/>
      <c r="T116" s="181"/>
      <c r="U116" s="181"/>
      <c r="V116" s="181"/>
      <c r="W116" s="181"/>
      <c r="X116" s="181"/>
      <c r="Y116" s="36"/>
      <c r="Z116" s="178" t="s">
        <v>440</v>
      </c>
    </row>
    <row r="117" spans="1:34" s="18" customFormat="1" ht="25.5" customHeight="1" x14ac:dyDescent="0.2">
      <c r="A117" s="180"/>
      <c r="B117" s="403"/>
      <c r="C117" s="403"/>
      <c r="D117" s="93" t="s">
        <v>52</v>
      </c>
      <c r="E117" s="179" t="s">
        <v>249</v>
      </c>
      <c r="F117" s="181">
        <v>5</v>
      </c>
      <c r="G117" s="179" t="s">
        <v>35</v>
      </c>
      <c r="H117" s="179">
        <v>25</v>
      </c>
      <c r="I117" s="179"/>
      <c r="J117" s="181"/>
      <c r="K117" s="181"/>
      <c r="L117" s="181"/>
      <c r="M117" s="181"/>
      <c r="N117" s="181"/>
      <c r="O117" s="181"/>
      <c r="P117" s="178" t="s">
        <v>440</v>
      </c>
      <c r="Q117" s="181"/>
      <c r="R117" s="181"/>
      <c r="S117" s="181"/>
      <c r="T117" s="181"/>
      <c r="U117" s="181"/>
      <c r="V117" s="181"/>
      <c r="W117" s="181"/>
      <c r="X117" s="181"/>
      <c r="Y117" s="36"/>
      <c r="Z117" s="178" t="s">
        <v>440</v>
      </c>
    </row>
    <row r="118" spans="1:34" s="18" customFormat="1" ht="25.5" customHeight="1" x14ac:dyDescent="0.2">
      <c r="A118" s="180"/>
      <c r="B118" s="403"/>
      <c r="C118" s="403"/>
      <c r="D118" s="93" t="s">
        <v>52</v>
      </c>
      <c r="E118" s="179" t="s">
        <v>250</v>
      </c>
      <c r="F118" s="181">
        <v>5</v>
      </c>
      <c r="G118" s="179" t="s">
        <v>35</v>
      </c>
      <c r="H118" s="179">
        <v>27</v>
      </c>
      <c r="I118" s="179"/>
      <c r="J118" s="181"/>
      <c r="K118" s="181"/>
      <c r="L118" s="181"/>
      <c r="M118" s="181"/>
      <c r="N118" s="181"/>
      <c r="O118" s="181"/>
      <c r="P118" s="178" t="s">
        <v>440</v>
      </c>
      <c r="Q118" s="181"/>
      <c r="R118" s="181"/>
      <c r="S118" s="181"/>
      <c r="T118" s="181"/>
      <c r="U118" s="181"/>
      <c r="V118" s="181"/>
      <c r="W118" s="181"/>
      <c r="X118" s="181"/>
      <c r="Y118" s="36"/>
      <c r="Z118" s="178" t="s">
        <v>440</v>
      </c>
    </row>
    <row r="119" spans="1:34" s="18" customFormat="1" ht="25.5" customHeight="1" x14ac:dyDescent="0.3">
      <c r="A119" s="455"/>
      <c r="B119" s="403"/>
      <c r="C119" s="403"/>
      <c r="D119" s="93" t="s">
        <v>52</v>
      </c>
      <c r="E119" s="114" t="s">
        <v>97</v>
      </c>
      <c r="F119" s="109">
        <v>5</v>
      </c>
      <c r="G119" s="114" t="s">
        <v>35</v>
      </c>
      <c r="H119" s="114">
        <v>27</v>
      </c>
      <c r="I119" s="114"/>
      <c r="J119" s="109">
        <v>15</v>
      </c>
      <c r="K119" s="109"/>
      <c r="L119" s="109"/>
      <c r="M119" s="109">
        <v>15</v>
      </c>
      <c r="N119" s="34"/>
      <c r="O119" s="34">
        <v>3</v>
      </c>
      <c r="P119" s="178" t="s">
        <v>442</v>
      </c>
      <c r="Q119" s="34"/>
      <c r="R119" s="34"/>
      <c r="S119" s="34"/>
      <c r="T119" s="35"/>
      <c r="U119" s="109"/>
      <c r="V119" s="109"/>
      <c r="W119" s="109"/>
      <c r="X119" s="109"/>
      <c r="Y119" s="36">
        <v>2.1</v>
      </c>
      <c r="Z119" s="178" t="s">
        <v>442</v>
      </c>
    </row>
    <row r="120" spans="1:34" s="18" customFormat="1" ht="25.5" customHeight="1" x14ac:dyDescent="0.3">
      <c r="A120" s="455"/>
      <c r="B120" s="403"/>
      <c r="C120" s="403"/>
      <c r="D120" s="93" t="s">
        <v>52</v>
      </c>
      <c r="E120" s="114" t="s">
        <v>167</v>
      </c>
      <c r="F120" s="109">
        <v>5</v>
      </c>
      <c r="G120" s="114" t="s">
        <v>35</v>
      </c>
      <c r="H120" s="114">
        <v>28</v>
      </c>
      <c r="I120" s="114"/>
      <c r="J120" s="109">
        <v>15</v>
      </c>
      <c r="K120" s="109"/>
      <c r="L120" s="109"/>
      <c r="M120" s="109"/>
      <c r="N120" s="34"/>
      <c r="O120" s="34">
        <v>3</v>
      </c>
      <c r="P120" s="178" t="s">
        <v>442</v>
      </c>
      <c r="Q120" s="34"/>
      <c r="R120" s="34"/>
      <c r="S120" s="34"/>
      <c r="T120" s="35"/>
      <c r="U120" s="109"/>
      <c r="V120" s="109"/>
      <c r="W120" s="109"/>
      <c r="X120" s="109"/>
      <c r="Y120" s="36">
        <v>0.6</v>
      </c>
      <c r="Z120" s="178" t="s">
        <v>442</v>
      </c>
    </row>
    <row r="121" spans="1:34" s="18" customFormat="1" ht="25.5" customHeight="1" x14ac:dyDescent="0.3">
      <c r="A121" s="455"/>
      <c r="B121" s="403"/>
      <c r="C121" s="403"/>
      <c r="D121" s="93" t="s">
        <v>52</v>
      </c>
      <c r="E121" s="114" t="s">
        <v>249</v>
      </c>
      <c r="F121" s="109">
        <v>5</v>
      </c>
      <c r="G121" s="114" t="s">
        <v>35</v>
      </c>
      <c r="H121" s="114">
        <v>25</v>
      </c>
      <c r="I121" s="114"/>
      <c r="J121" s="109">
        <v>15</v>
      </c>
      <c r="K121" s="109"/>
      <c r="L121" s="109"/>
      <c r="M121" s="109"/>
      <c r="N121" s="34"/>
      <c r="O121" s="34">
        <v>3</v>
      </c>
      <c r="P121" s="178" t="s">
        <v>442</v>
      </c>
      <c r="Q121" s="34"/>
      <c r="R121" s="34"/>
      <c r="S121" s="34"/>
      <c r="T121" s="35"/>
      <c r="U121" s="109"/>
      <c r="V121" s="109"/>
      <c r="W121" s="109"/>
      <c r="X121" s="109"/>
      <c r="Y121" s="36">
        <v>0.6</v>
      </c>
      <c r="Z121" s="178" t="s">
        <v>442</v>
      </c>
    </row>
    <row r="122" spans="1:34" s="18" customFormat="1" ht="25.5" customHeight="1" x14ac:dyDescent="0.3">
      <c r="A122" s="455"/>
      <c r="B122" s="403"/>
      <c r="C122" s="403"/>
      <c r="D122" s="93" t="s">
        <v>52</v>
      </c>
      <c r="E122" s="114" t="s">
        <v>250</v>
      </c>
      <c r="F122" s="109">
        <v>5</v>
      </c>
      <c r="G122" s="114" t="s">
        <v>35</v>
      </c>
      <c r="H122" s="114">
        <v>27</v>
      </c>
      <c r="I122" s="114"/>
      <c r="J122" s="109">
        <v>15</v>
      </c>
      <c r="K122" s="109"/>
      <c r="L122" s="109"/>
      <c r="M122" s="109"/>
      <c r="N122" s="34"/>
      <c r="O122" s="34">
        <v>3</v>
      </c>
      <c r="P122" s="178" t="s">
        <v>442</v>
      </c>
      <c r="Q122" s="34"/>
      <c r="R122" s="34"/>
      <c r="S122" s="34"/>
      <c r="T122" s="35"/>
      <c r="U122" s="109"/>
      <c r="V122" s="109"/>
      <c r="W122" s="109"/>
      <c r="X122" s="109"/>
      <c r="Y122" s="36">
        <v>0.6</v>
      </c>
      <c r="Z122" s="178" t="s">
        <v>442</v>
      </c>
    </row>
    <row r="123" spans="1:34" s="18" customFormat="1" ht="25.5" customHeight="1" x14ac:dyDescent="0.3">
      <c r="A123" s="455"/>
      <c r="B123" s="403"/>
      <c r="C123" s="403"/>
      <c r="D123" s="93" t="s">
        <v>52</v>
      </c>
      <c r="E123" s="114" t="s">
        <v>102</v>
      </c>
      <c r="F123" s="109">
        <v>5</v>
      </c>
      <c r="G123" s="114" t="s">
        <v>32</v>
      </c>
      <c r="H123" s="114">
        <v>30</v>
      </c>
      <c r="I123" s="114">
        <v>30</v>
      </c>
      <c r="J123" s="109">
        <v>15</v>
      </c>
      <c r="K123" s="109"/>
      <c r="L123" s="109"/>
      <c r="M123" s="109">
        <v>15</v>
      </c>
      <c r="N123" s="34"/>
      <c r="O123" s="34">
        <v>3</v>
      </c>
      <c r="P123" s="178" t="s">
        <v>443</v>
      </c>
      <c r="Q123" s="34"/>
      <c r="R123" s="34"/>
      <c r="S123" s="34"/>
      <c r="T123" s="35"/>
      <c r="U123" s="109"/>
      <c r="V123" s="109"/>
      <c r="W123" s="109"/>
      <c r="X123" s="109"/>
      <c r="Y123" s="36">
        <v>2.1</v>
      </c>
      <c r="Z123" s="178" t="s">
        <v>443</v>
      </c>
    </row>
    <row r="124" spans="1:34" s="18" customFormat="1" ht="25.5" customHeight="1" x14ac:dyDescent="0.2">
      <c r="A124" s="456"/>
      <c r="B124" s="493"/>
      <c r="C124" s="493"/>
      <c r="D124" s="93" t="s">
        <v>52</v>
      </c>
      <c r="E124" s="114" t="s">
        <v>102</v>
      </c>
      <c r="F124" s="109">
        <v>5</v>
      </c>
      <c r="G124" s="114" t="s">
        <v>32</v>
      </c>
      <c r="H124" s="114"/>
      <c r="I124" s="95"/>
      <c r="J124" s="109">
        <v>15</v>
      </c>
      <c r="K124" s="109"/>
      <c r="L124" s="109"/>
      <c r="M124" s="109"/>
      <c r="N124" s="109"/>
      <c r="O124" s="109"/>
      <c r="P124" s="178" t="s">
        <v>443</v>
      </c>
      <c r="Q124" s="109"/>
      <c r="R124" s="109"/>
      <c r="S124" s="109"/>
      <c r="T124" s="109"/>
      <c r="U124" s="109"/>
      <c r="V124" s="109"/>
      <c r="W124" s="109"/>
      <c r="X124" s="109"/>
      <c r="Y124" s="36">
        <v>0.5</v>
      </c>
      <c r="Z124" s="178" t="s">
        <v>443</v>
      </c>
    </row>
    <row r="125" spans="1:34" ht="20.25" customHeight="1" x14ac:dyDescent="0.3">
      <c r="A125" s="491">
        <v>46</v>
      </c>
      <c r="B125" s="509" t="s">
        <v>642</v>
      </c>
      <c r="C125" s="362"/>
      <c r="D125" s="225" t="s">
        <v>52</v>
      </c>
      <c r="E125" s="361" t="s">
        <v>97</v>
      </c>
      <c r="F125" s="358">
        <v>5</v>
      </c>
      <c r="G125" s="361" t="s">
        <v>35</v>
      </c>
      <c r="H125" s="361">
        <v>3</v>
      </c>
      <c r="I125" s="361">
        <v>30</v>
      </c>
      <c r="J125" s="358">
        <v>15</v>
      </c>
      <c r="K125" s="358"/>
      <c r="L125" s="358"/>
      <c r="M125" s="358">
        <v>15</v>
      </c>
      <c r="N125" s="230"/>
      <c r="O125" s="5" t="s">
        <v>442</v>
      </c>
      <c r="P125" s="230"/>
      <c r="Q125" s="230"/>
      <c r="R125" s="230"/>
      <c r="S125" s="230"/>
      <c r="T125" s="231"/>
      <c r="U125" s="358"/>
      <c r="V125" s="358"/>
      <c r="W125" s="358"/>
      <c r="X125" s="358"/>
      <c r="Y125" s="364">
        <v>2.1</v>
      </c>
      <c r="Z125" s="5" t="s">
        <v>442</v>
      </c>
      <c r="AA125" s="5"/>
      <c r="AB125" s="5"/>
      <c r="AC125" s="5"/>
      <c r="AD125" s="5"/>
      <c r="AE125" s="5"/>
      <c r="AF125" s="5"/>
      <c r="AG125" s="5"/>
      <c r="AH125" s="5"/>
    </row>
    <row r="126" spans="1:34" ht="20.25" customHeight="1" x14ac:dyDescent="0.3">
      <c r="A126" s="495"/>
      <c r="B126" s="510"/>
      <c r="C126" s="365"/>
      <c r="D126" s="225" t="s">
        <v>52</v>
      </c>
      <c r="E126" s="361" t="s">
        <v>249</v>
      </c>
      <c r="F126" s="358">
        <v>5</v>
      </c>
      <c r="G126" s="361" t="s">
        <v>35</v>
      </c>
      <c r="H126" s="361">
        <v>10</v>
      </c>
      <c r="I126" s="361"/>
      <c r="J126" s="358"/>
      <c r="K126" s="358"/>
      <c r="L126" s="358"/>
      <c r="M126" s="358"/>
      <c r="N126" s="230"/>
      <c r="O126" s="5" t="s">
        <v>442</v>
      </c>
      <c r="P126" s="230"/>
      <c r="Q126" s="230"/>
      <c r="R126" s="230"/>
      <c r="S126" s="230"/>
      <c r="T126" s="231"/>
      <c r="U126" s="358"/>
      <c r="V126" s="358"/>
      <c r="W126" s="358"/>
      <c r="X126" s="358"/>
      <c r="Y126" s="364"/>
      <c r="Z126" s="5" t="s">
        <v>442</v>
      </c>
      <c r="AA126" s="5"/>
      <c r="AB126" s="5"/>
      <c r="AC126" s="5"/>
      <c r="AD126" s="5"/>
      <c r="AE126" s="5"/>
      <c r="AF126" s="5"/>
      <c r="AG126" s="5"/>
      <c r="AH126" s="5"/>
    </row>
    <row r="127" spans="1:34" ht="20.25" customHeight="1" x14ac:dyDescent="0.3">
      <c r="A127" s="495"/>
      <c r="B127" s="510"/>
      <c r="C127" s="365"/>
      <c r="D127" s="225" t="s">
        <v>52</v>
      </c>
      <c r="E127" s="361" t="s">
        <v>250</v>
      </c>
      <c r="F127" s="358">
        <v>5</v>
      </c>
      <c r="G127" s="361" t="s">
        <v>35</v>
      </c>
      <c r="H127" s="361">
        <v>6</v>
      </c>
      <c r="I127" s="361"/>
      <c r="J127" s="358">
        <v>15</v>
      </c>
      <c r="K127" s="358"/>
      <c r="L127" s="358"/>
      <c r="M127" s="358"/>
      <c r="N127" s="230"/>
      <c r="O127" s="5" t="s">
        <v>442</v>
      </c>
      <c r="P127" s="230"/>
      <c r="Q127" s="230"/>
      <c r="R127" s="230"/>
      <c r="S127" s="230"/>
      <c r="T127" s="231"/>
      <c r="U127" s="358"/>
      <c r="V127" s="358"/>
      <c r="W127" s="358"/>
      <c r="X127" s="358"/>
      <c r="Y127" s="364">
        <v>0.6</v>
      </c>
      <c r="Z127" s="5" t="s">
        <v>442</v>
      </c>
      <c r="AA127" s="5"/>
      <c r="AB127" s="5"/>
      <c r="AC127" s="5"/>
      <c r="AD127" s="5"/>
      <c r="AE127" s="5"/>
      <c r="AF127" s="5"/>
      <c r="AG127" s="5"/>
      <c r="AH127" s="5"/>
    </row>
    <row r="128" spans="1:34" ht="20.25" customHeight="1" x14ac:dyDescent="0.3">
      <c r="A128" s="495"/>
      <c r="B128" s="510"/>
      <c r="C128" s="365"/>
      <c r="D128" s="225" t="s">
        <v>52</v>
      </c>
      <c r="E128" s="361" t="s">
        <v>167</v>
      </c>
      <c r="F128" s="358">
        <v>5</v>
      </c>
      <c r="G128" s="361" t="s">
        <v>35</v>
      </c>
      <c r="H128" s="361">
        <v>11</v>
      </c>
      <c r="I128" s="361"/>
      <c r="J128" s="358"/>
      <c r="K128" s="358"/>
      <c r="L128" s="358"/>
      <c r="M128" s="358"/>
      <c r="N128" s="230"/>
      <c r="O128" s="5" t="s">
        <v>442</v>
      </c>
      <c r="P128" s="230"/>
      <c r="Q128" s="230"/>
      <c r="R128" s="230"/>
      <c r="S128" s="230"/>
      <c r="T128" s="231"/>
      <c r="U128" s="358"/>
      <c r="V128" s="358"/>
      <c r="W128" s="358"/>
      <c r="X128" s="358"/>
      <c r="Y128" s="364"/>
      <c r="Z128" s="5" t="s">
        <v>442</v>
      </c>
      <c r="AA128" s="5"/>
      <c r="AB128" s="5"/>
      <c r="AC128" s="5"/>
      <c r="AD128" s="5"/>
      <c r="AE128" s="5"/>
      <c r="AF128" s="5"/>
      <c r="AG128" s="5"/>
      <c r="AH128" s="5"/>
    </row>
    <row r="129" spans="1:34" ht="20.25" customHeight="1" x14ac:dyDescent="0.3">
      <c r="A129" s="495"/>
      <c r="B129" s="510"/>
      <c r="C129" s="365"/>
      <c r="D129" s="358" t="s">
        <v>51</v>
      </c>
      <c r="E129" s="358" t="s">
        <v>100</v>
      </c>
      <c r="F129" s="358">
        <v>5</v>
      </c>
      <c r="G129" s="361" t="s">
        <v>35</v>
      </c>
      <c r="H129" s="358">
        <v>15</v>
      </c>
      <c r="I129" s="361"/>
      <c r="J129" s="358">
        <v>15</v>
      </c>
      <c r="K129" s="358"/>
      <c r="L129" s="358"/>
      <c r="M129" s="358"/>
      <c r="N129" s="230"/>
      <c r="O129" s="4" t="s">
        <v>441</v>
      </c>
      <c r="P129" s="230"/>
      <c r="Q129" s="230"/>
      <c r="R129" s="230"/>
      <c r="S129" s="230"/>
      <c r="T129" s="231"/>
      <c r="U129" s="358"/>
      <c r="V129" s="358"/>
      <c r="W129" s="358"/>
      <c r="X129" s="358"/>
      <c r="Y129" s="364">
        <v>0.6</v>
      </c>
      <c r="Z129" s="4" t="s">
        <v>441</v>
      </c>
      <c r="AA129" s="5"/>
      <c r="AB129" s="5"/>
      <c r="AC129" s="5"/>
      <c r="AD129" s="5"/>
      <c r="AE129" s="5"/>
      <c r="AF129" s="5"/>
      <c r="AG129" s="5"/>
      <c r="AH129" s="5"/>
    </row>
    <row r="130" spans="1:34" ht="20.25" customHeight="1" x14ac:dyDescent="0.3">
      <c r="A130" s="495"/>
      <c r="B130" s="510"/>
      <c r="C130" s="365"/>
      <c r="D130" s="358" t="s">
        <v>43</v>
      </c>
      <c r="E130" s="358" t="s">
        <v>111</v>
      </c>
      <c r="F130" s="358">
        <v>5</v>
      </c>
      <c r="G130" s="358" t="s">
        <v>35</v>
      </c>
      <c r="H130" s="358">
        <v>12</v>
      </c>
      <c r="I130" s="361"/>
      <c r="J130" s="358"/>
      <c r="K130" s="358"/>
      <c r="L130" s="358"/>
      <c r="M130" s="358"/>
      <c r="N130" s="230"/>
      <c r="O130" s="4" t="s">
        <v>441</v>
      </c>
      <c r="P130" s="230"/>
      <c r="Q130" s="230"/>
      <c r="R130" s="230"/>
      <c r="S130" s="230"/>
      <c r="T130" s="231"/>
      <c r="U130" s="358"/>
      <c r="V130" s="358"/>
      <c r="W130" s="358"/>
      <c r="X130" s="358"/>
      <c r="Y130" s="364"/>
      <c r="Z130" s="4" t="s">
        <v>441</v>
      </c>
      <c r="AA130" s="5"/>
      <c r="AB130" s="5"/>
      <c r="AC130" s="5"/>
      <c r="AD130" s="5"/>
      <c r="AE130" s="5"/>
      <c r="AF130" s="5"/>
      <c r="AG130" s="5"/>
      <c r="AH130" s="5"/>
    </row>
    <row r="131" spans="1:34" ht="20.25" customHeight="1" x14ac:dyDescent="0.3">
      <c r="A131" s="495"/>
      <c r="B131" s="510"/>
      <c r="C131" s="365"/>
      <c r="D131" s="358" t="s">
        <v>49</v>
      </c>
      <c r="E131" s="358" t="s">
        <v>91</v>
      </c>
      <c r="F131" s="358">
        <v>5</v>
      </c>
      <c r="G131" s="358" t="s">
        <v>35</v>
      </c>
      <c r="H131" s="358">
        <v>13</v>
      </c>
      <c r="I131" s="361"/>
      <c r="J131" s="358">
        <v>15</v>
      </c>
      <c r="K131" s="358"/>
      <c r="L131" s="358"/>
      <c r="M131" s="358"/>
      <c r="N131" s="230"/>
      <c r="O131" s="5" t="s">
        <v>442</v>
      </c>
      <c r="P131" s="230"/>
      <c r="Q131" s="230"/>
      <c r="R131" s="230"/>
      <c r="S131" s="230"/>
      <c r="T131" s="231"/>
      <c r="U131" s="358"/>
      <c r="V131" s="358"/>
      <c r="W131" s="358"/>
      <c r="X131" s="358"/>
      <c r="Y131" s="364">
        <v>0.5</v>
      </c>
      <c r="Z131" s="5" t="s">
        <v>442</v>
      </c>
      <c r="AA131" s="5"/>
      <c r="AB131" s="5"/>
      <c r="AC131" s="5"/>
      <c r="AD131" s="5"/>
      <c r="AE131" s="5"/>
      <c r="AF131" s="5"/>
      <c r="AG131" s="5"/>
      <c r="AH131" s="5"/>
    </row>
    <row r="132" spans="1:34" ht="20.25" customHeight="1" x14ac:dyDescent="0.3">
      <c r="A132" s="495"/>
      <c r="B132" s="510"/>
      <c r="C132" s="365"/>
      <c r="D132" s="361" t="s">
        <v>81</v>
      </c>
      <c r="E132" s="361" t="s">
        <v>204</v>
      </c>
      <c r="F132" s="358">
        <v>5</v>
      </c>
      <c r="G132" s="361" t="s">
        <v>35</v>
      </c>
      <c r="H132" s="358">
        <v>6</v>
      </c>
      <c r="I132" s="361"/>
      <c r="J132" s="358"/>
      <c r="K132" s="358"/>
      <c r="L132" s="358"/>
      <c r="M132" s="358"/>
      <c r="N132" s="230"/>
      <c r="O132" s="5" t="s">
        <v>442</v>
      </c>
      <c r="P132" s="230"/>
      <c r="Q132" s="230"/>
      <c r="R132" s="230"/>
      <c r="S132" s="230"/>
      <c r="T132" s="231"/>
      <c r="U132" s="358"/>
      <c r="V132" s="358"/>
      <c r="W132" s="358"/>
      <c r="X132" s="358"/>
      <c r="Y132" s="364"/>
      <c r="Z132" s="5" t="s">
        <v>442</v>
      </c>
      <c r="AA132" s="5"/>
      <c r="AB132" s="5"/>
      <c r="AC132" s="5"/>
      <c r="AD132" s="5"/>
      <c r="AE132" s="5"/>
      <c r="AF132" s="5"/>
      <c r="AG132" s="5"/>
      <c r="AH132" s="5"/>
    </row>
    <row r="133" spans="1:34" ht="20.25" customHeight="1" x14ac:dyDescent="0.3">
      <c r="A133" s="495"/>
      <c r="B133" s="510"/>
      <c r="C133" s="365"/>
      <c r="D133" s="361" t="s">
        <v>81</v>
      </c>
      <c r="E133" s="361" t="s">
        <v>205</v>
      </c>
      <c r="F133" s="358">
        <v>5</v>
      </c>
      <c r="G133" s="361" t="s">
        <v>35</v>
      </c>
      <c r="H133" s="358">
        <v>5</v>
      </c>
      <c r="I133" s="361"/>
      <c r="J133" s="358"/>
      <c r="K133" s="358"/>
      <c r="L133" s="358"/>
      <c r="M133" s="358"/>
      <c r="N133" s="230"/>
      <c r="O133" s="5" t="s">
        <v>442</v>
      </c>
      <c r="P133" s="230"/>
      <c r="Q133" s="230"/>
      <c r="R133" s="230"/>
      <c r="S133" s="230"/>
      <c r="T133" s="231"/>
      <c r="U133" s="358"/>
      <c r="V133" s="358"/>
      <c r="W133" s="358"/>
      <c r="X133" s="358"/>
      <c r="Y133" s="364"/>
      <c r="Z133" s="5" t="s">
        <v>442</v>
      </c>
      <c r="AA133" s="5"/>
      <c r="AB133" s="5"/>
      <c r="AC133" s="5"/>
      <c r="AD133" s="5"/>
      <c r="AE133" s="5"/>
      <c r="AF133" s="5"/>
      <c r="AG133" s="5"/>
      <c r="AH133" s="5"/>
    </row>
    <row r="134" spans="1:34" ht="20.25" customHeight="1" x14ac:dyDescent="0.3">
      <c r="A134" s="495"/>
      <c r="B134" s="510"/>
      <c r="C134" s="365"/>
      <c r="D134" s="361" t="s">
        <v>81</v>
      </c>
      <c r="E134" s="361" t="s">
        <v>206</v>
      </c>
      <c r="F134" s="358">
        <v>5</v>
      </c>
      <c r="G134" s="361" t="s">
        <v>35</v>
      </c>
      <c r="H134" s="358">
        <v>2</v>
      </c>
      <c r="I134" s="361"/>
      <c r="J134" s="358"/>
      <c r="K134" s="358"/>
      <c r="L134" s="358"/>
      <c r="M134" s="358"/>
      <c r="N134" s="230"/>
      <c r="O134" s="5" t="s">
        <v>442</v>
      </c>
      <c r="P134" s="230"/>
      <c r="Q134" s="230"/>
      <c r="R134" s="230"/>
      <c r="S134" s="230"/>
      <c r="T134" s="231"/>
      <c r="U134" s="358"/>
      <c r="V134" s="358"/>
      <c r="W134" s="358"/>
      <c r="X134" s="358"/>
      <c r="Y134" s="364"/>
      <c r="Z134" s="5" t="s">
        <v>442</v>
      </c>
      <c r="AA134" s="5"/>
      <c r="AB134" s="5"/>
      <c r="AC134" s="5"/>
      <c r="AD134" s="5"/>
      <c r="AE134" s="5"/>
      <c r="AF134" s="5"/>
      <c r="AG134" s="5"/>
      <c r="AH134" s="5"/>
    </row>
    <row r="135" spans="1:34" ht="20.25" customHeight="1" x14ac:dyDescent="0.3">
      <c r="A135" s="495"/>
      <c r="B135" s="510"/>
      <c r="C135" s="365"/>
      <c r="D135" s="358" t="s">
        <v>45</v>
      </c>
      <c r="E135" s="358" t="s">
        <v>95</v>
      </c>
      <c r="F135" s="358">
        <v>5</v>
      </c>
      <c r="G135" s="358" t="s">
        <v>35</v>
      </c>
      <c r="H135" s="358">
        <v>8</v>
      </c>
      <c r="I135" s="361"/>
      <c r="J135" s="358">
        <v>15</v>
      </c>
      <c r="K135" s="358"/>
      <c r="L135" s="358"/>
      <c r="M135" s="358">
        <v>15</v>
      </c>
      <c r="N135" s="230"/>
      <c r="O135" s="5" t="s">
        <v>449</v>
      </c>
      <c r="P135" s="230"/>
      <c r="Q135" s="230"/>
      <c r="R135" s="230"/>
      <c r="S135" s="230"/>
      <c r="T135" s="231"/>
      <c r="U135" s="358"/>
      <c r="V135" s="358"/>
      <c r="W135" s="358"/>
      <c r="X135" s="358"/>
      <c r="Y135" s="364">
        <v>1.1000000000000001</v>
      </c>
      <c r="Z135" s="5" t="s">
        <v>449</v>
      </c>
      <c r="AA135" s="5"/>
      <c r="AB135" s="5"/>
      <c r="AC135" s="5"/>
      <c r="AD135" s="5"/>
      <c r="AE135" s="5"/>
      <c r="AF135" s="5"/>
      <c r="AG135" s="5"/>
      <c r="AH135" s="5"/>
    </row>
    <row r="136" spans="1:34" ht="20.25" customHeight="1" x14ac:dyDescent="0.3">
      <c r="A136" s="495"/>
      <c r="B136" s="510"/>
      <c r="C136" s="365"/>
      <c r="D136" s="358" t="s">
        <v>45</v>
      </c>
      <c r="E136" s="358" t="s">
        <v>151</v>
      </c>
      <c r="F136" s="358">
        <v>5</v>
      </c>
      <c r="G136" s="358" t="s">
        <v>35</v>
      </c>
      <c r="H136" s="358">
        <v>8</v>
      </c>
      <c r="I136" s="361"/>
      <c r="J136" s="358"/>
      <c r="K136" s="358"/>
      <c r="L136" s="358"/>
      <c r="M136" s="358"/>
      <c r="N136" s="230"/>
      <c r="O136" s="5" t="s">
        <v>449</v>
      </c>
      <c r="P136" s="230"/>
      <c r="Q136" s="230"/>
      <c r="R136" s="230"/>
      <c r="S136" s="230"/>
      <c r="T136" s="231"/>
      <c r="U136" s="358"/>
      <c r="V136" s="358"/>
      <c r="W136" s="358"/>
      <c r="X136" s="358"/>
      <c r="Y136" s="364"/>
      <c r="Z136" s="5" t="s">
        <v>449</v>
      </c>
      <c r="AA136" s="5"/>
      <c r="AB136" s="5"/>
      <c r="AC136" s="5"/>
      <c r="AD136" s="5"/>
      <c r="AE136" s="5"/>
      <c r="AF136" s="5"/>
      <c r="AG136" s="5"/>
      <c r="AH136" s="5"/>
    </row>
    <row r="137" spans="1:34" ht="20.25" customHeight="1" x14ac:dyDescent="0.3">
      <c r="A137" s="495"/>
      <c r="B137" s="510"/>
      <c r="C137" s="365"/>
      <c r="D137" s="358" t="s">
        <v>45</v>
      </c>
      <c r="E137" s="358" t="s">
        <v>96</v>
      </c>
      <c r="F137" s="358">
        <v>5</v>
      </c>
      <c r="G137" s="358" t="s">
        <v>35</v>
      </c>
      <c r="H137" s="358">
        <v>14</v>
      </c>
      <c r="I137" s="361"/>
      <c r="J137" s="358">
        <v>15</v>
      </c>
      <c r="K137" s="358"/>
      <c r="L137" s="358"/>
      <c r="M137" s="358"/>
      <c r="N137" s="230"/>
      <c r="O137" s="5" t="s">
        <v>449</v>
      </c>
      <c r="P137" s="230"/>
      <c r="Q137" s="230"/>
      <c r="R137" s="230"/>
      <c r="S137" s="230"/>
      <c r="T137" s="231"/>
      <c r="U137" s="358"/>
      <c r="V137" s="358"/>
      <c r="W137" s="358"/>
      <c r="X137" s="358"/>
      <c r="Y137" s="364">
        <v>0.6</v>
      </c>
      <c r="Z137" s="5" t="s">
        <v>449</v>
      </c>
      <c r="AA137" s="5"/>
      <c r="AB137" s="5"/>
      <c r="AC137" s="5"/>
      <c r="AD137" s="5"/>
      <c r="AE137" s="5"/>
      <c r="AF137" s="5"/>
      <c r="AG137" s="5"/>
      <c r="AH137" s="5"/>
    </row>
    <row r="138" spans="1:34" ht="20.25" customHeight="1" x14ac:dyDescent="0.3">
      <c r="A138" s="495"/>
      <c r="B138" s="510"/>
      <c r="C138" s="365"/>
      <c r="D138" s="358" t="s">
        <v>45</v>
      </c>
      <c r="E138" s="358" t="s">
        <v>152</v>
      </c>
      <c r="F138" s="358">
        <v>5</v>
      </c>
      <c r="G138" s="358" t="s">
        <v>35</v>
      </c>
      <c r="H138" s="358">
        <v>11</v>
      </c>
      <c r="I138" s="361"/>
      <c r="J138" s="358"/>
      <c r="K138" s="358"/>
      <c r="L138" s="358"/>
      <c r="M138" s="358"/>
      <c r="N138" s="230"/>
      <c r="O138" s="5" t="s">
        <v>449</v>
      </c>
      <c r="P138" s="230"/>
      <c r="Q138" s="230"/>
      <c r="R138" s="230"/>
      <c r="S138" s="230"/>
      <c r="T138" s="231"/>
      <c r="U138" s="358"/>
      <c r="V138" s="358"/>
      <c r="W138" s="358"/>
      <c r="X138" s="358"/>
      <c r="Y138" s="364"/>
      <c r="Z138" s="5" t="s">
        <v>449</v>
      </c>
      <c r="AA138" s="5"/>
      <c r="AB138" s="5"/>
      <c r="AC138" s="5"/>
      <c r="AD138" s="5"/>
      <c r="AE138" s="5"/>
      <c r="AF138" s="5"/>
      <c r="AG138" s="5"/>
      <c r="AH138" s="5"/>
    </row>
    <row r="139" spans="1:34" ht="20.25" customHeight="1" x14ac:dyDescent="0.3">
      <c r="A139" s="495"/>
      <c r="B139" s="510"/>
      <c r="C139" s="365"/>
      <c r="D139" s="358" t="s">
        <v>45</v>
      </c>
      <c r="E139" s="358" t="s">
        <v>166</v>
      </c>
      <c r="F139" s="358">
        <v>5</v>
      </c>
      <c r="G139" s="358" t="s">
        <v>35</v>
      </c>
      <c r="H139" s="358">
        <v>16</v>
      </c>
      <c r="I139" s="361"/>
      <c r="J139" s="358">
        <v>15</v>
      </c>
      <c r="K139" s="358"/>
      <c r="L139" s="358"/>
      <c r="M139" s="358"/>
      <c r="N139" s="230"/>
      <c r="O139" s="5" t="s">
        <v>449</v>
      </c>
      <c r="P139" s="230"/>
      <c r="Q139" s="230"/>
      <c r="R139" s="230"/>
      <c r="S139" s="230"/>
      <c r="T139" s="231"/>
      <c r="U139" s="358"/>
      <c r="V139" s="358"/>
      <c r="W139" s="358"/>
      <c r="X139" s="358"/>
      <c r="Y139" s="364">
        <v>0.5</v>
      </c>
      <c r="Z139" s="5" t="s">
        <v>449</v>
      </c>
      <c r="AA139" s="5"/>
      <c r="AB139" s="5"/>
      <c r="AC139" s="5"/>
      <c r="AD139" s="5"/>
      <c r="AE139" s="5"/>
      <c r="AF139" s="5"/>
      <c r="AG139" s="5"/>
      <c r="AH139" s="5"/>
    </row>
    <row r="140" spans="1:34" ht="20.25" customHeight="1" x14ac:dyDescent="0.3">
      <c r="A140" s="495"/>
      <c r="B140" s="510"/>
      <c r="C140" s="365"/>
      <c r="D140" s="358" t="s">
        <v>51</v>
      </c>
      <c r="E140" s="358" t="s">
        <v>101</v>
      </c>
      <c r="F140" s="358">
        <v>5</v>
      </c>
      <c r="G140" s="361" t="s">
        <v>32</v>
      </c>
      <c r="H140" s="358">
        <v>10</v>
      </c>
      <c r="I140" s="361">
        <v>30</v>
      </c>
      <c r="J140" s="358">
        <v>15</v>
      </c>
      <c r="K140" s="358"/>
      <c r="L140" s="358"/>
      <c r="M140" s="358">
        <v>15</v>
      </c>
      <c r="N140" s="230"/>
      <c r="O140" s="178" t="s">
        <v>443</v>
      </c>
      <c r="P140" s="230"/>
      <c r="Q140" s="230"/>
      <c r="R140" s="230"/>
      <c r="S140" s="230"/>
      <c r="T140" s="231"/>
      <c r="U140" s="358"/>
      <c r="V140" s="358"/>
      <c r="W140" s="358"/>
      <c r="X140" s="358"/>
      <c r="Y140" s="364">
        <v>2.1</v>
      </c>
      <c r="Z140" s="178" t="s">
        <v>443</v>
      </c>
      <c r="AA140" s="5"/>
      <c r="AB140" s="5"/>
      <c r="AC140" s="5"/>
      <c r="AD140" s="5"/>
      <c r="AE140" s="5"/>
      <c r="AF140" s="5"/>
      <c r="AG140" s="5"/>
      <c r="AH140" s="5"/>
    </row>
    <row r="141" spans="1:34" ht="20.25" customHeight="1" x14ac:dyDescent="0.3">
      <c r="A141" s="495"/>
      <c r="B141" s="510"/>
      <c r="C141" s="365"/>
      <c r="D141" s="358" t="s">
        <v>43</v>
      </c>
      <c r="E141" s="358" t="s">
        <v>89</v>
      </c>
      <c r="F141" s="358">
        <v>5</v>
      </c>
      <c r="G141" s="358" t="s">
        <v>32</v>
      </c>
      <c r="H141" s="358">
        <v>6</v>
      </c>
      <c r="I141" s="361"/>
      <c r="J141" s="358"/>
      <c r="K141" s="358"/>
      <c r="L141" s="358"/>
      <c r="M141" s="358"/>
      <c r="N141" s="230"/>
      <c r="O141" s="178" t="s">
        <v>443</v>
      </c>
      <c r="P141" s="230"/>
      <c r="Q141" s="230"/>
      <c r="R141" s="230"/>
      <c r="S141" s="230"/>
      <c r="T141" s="231"/>
      <c r="U141" s="358"/>
      <c r="V141" s="358"/>
      <c r="W141" s="358"/>
      <c r="X141" s="358"/>
      <c r="Y141" s="364"/>
      <c r="Z141" s="178" t="s">
        <v>443</v>
      </c>
      <c r="AA141" s="5"/>
      <c r="AB141" s="5"/>
      <c r="AC141" s="5"/>
      <c r="AD141" s="5"/>
      <c r="AE141" s="5"/>
      <c r="AF141" s="5"/>
      <c r="AG141" s="5"/>
      <c r="AH141" s="5"/>
    </row>
    <row r="142" spans="1:34" ht="20.25" customHeight="1" x14ac:dyDescent="0.3">
      <c r="A142" s="495"/>
      <c r="B142" s="510"/>
      <c r="C142" s="365"/>
      <c r="D142" s="225" t="s">
        <v>41</v>
      </c>
      <c r="E142" s="358" t="s">
        <v>168</v>
      </c>
      <c r="F142" s="358">
        <v>5</v>
      </c>
      <c r="G142" s="358" t="s">
        <v>32</v>
      </c>
      <c r="H142" s="358">
        <v>10</v>
      </c>
      <c r="I142" s="361"/>
      <c r="J142" s="358"/>
      <c r="K142" s="358"/>
      <c r="L142" s="358"/>
      <c r="M142" s="358"/>
      <c r="N142" s="230"/>
      <c r="O142" s="178" t="s">
        <v>443</v>
      </c>
      <c r="P142" s="230"/>
      <c r="Q142" s="230"/>
      <c r="R142" s="230"/>
      <c r="S142" s="230"/>
      <c r="T142" s="231"/>
      <c r="U142" s="358"/>
      <c r="V142" s="358"/>
      <c r="W142" s="358"/>
      <c r="X142" s="358"/>
      <c r="Y142" s="364"/>
      <c r="Z142" s="178" t="s">
        <v>443</v>
      </c>
      <c r="AA142" s="5"/>
      <c r="AB142" s="5"/>
      <c r="AC142" s="5"/>
      <c r="AD142" s="5"/>
      <c r="AE142" s="5"/>
      <c r="AF142" s="5"/>
      <c r="AG142" s="5"/>
      <c r="AH142" s="5"/>
    </row>
    <row r="143" spans="1:34" ht="20.25" customHeight="1" x14ac:dyDescent="0.2">
      <c r="A143" s="495"/>
      <c r="B143" s="510"/>
      <c r="C143" s="365"/>
      <c r="D143" s="225" t="s">
        <v>52</v>
      </c>
      <c r="E143" s="361" t="s">
        <v>102</v>
      </c>
      <c r="F143" s="358">
        <v>5</v>
      </c>
      <c r="G143" s="361" t="s">
        <v>32</v>
      </c>
      <c r="H143" s="361">
        <v>15</v>
      </c>
      <c r="I143" s="234"/>
      <c r="J143" s="358">
        <v>15</v>
      </c>
      <c r="K143" s="358"/>
      <c r="L143" s="358"/>
      <c r="M143" s="358"/>
      <c r="N143" s="358"/>
      <c r="O143" s="178" t="s">
        <v>443</v>
      </c>
      <c r="P143" s="358"/>
      <c r="Q143" s="358"/>
      <c r="R143" s="358"/>
      <c r="S143" s="358"/>
      <c r="T143" s="358"/>
      <c r="U143" s="358"/>
      <c r="V143" s="358"/>
      <c r="W143" s="358"/>
      <c r="X143" s="358"/>
      <c r="Y143" s="364">
        <v>0.6</v>
      </c>
      <c r="Z143" s="178" t="s">
        <v>443</v>
      </c>
      <c r="AA143" s="5"/>
      <c r="AB143" s="5"/>
      <c r="AC143" s="5"/>
      <c r="AD143" s="5"/>
      <c r="AE143" s="5"/>
      <c r="AF143" s="5"/>
      <c r="AG143" s="5"/>
      <c r="AH143" s="5"/>
    </row>
    <row r="144" spans="1:34" ht="20.25" customHeight="1" x14ac:dyDescent="0.3">
      <c r="A144" s="495"/>
      <c r="B144" s="510"/>
      <c r="C144" s="365"/>
      <c r="D144" s="358" t="s">
        <v>45</v>
      </c>
      <c r="E144" s="358" t="s">
        <v>112</v>
      </c>
      <c r="F144" s="358">
        <v>5</v>
      </c>
      <c r="G144" s="358" t="s">
        <v>32</v>
      </c>
      <c r="H144" s="358">
        <v>5</v>
      </c>
      <c r="I144" s="361"/>
      <c r="J144" s="358"/>
      <c r="K144" s="358"/>
      <c r="L144" s="358"/>
      <c r="M144" s="358"/>
      <c r="N144" s="230"/>
      <c r="O144" s="178" t="s">
        <v>443</v>
      </c>
      <c r="P144" s="230"/>
      <c r="Q144" s="230"/>
      <c r="R144" s="230"/>
      <c r="S144" s="230"/>
      <c r="T144" s="231"/>
      <c r="U144" s="358"/>
      <c r="V144" s="358"/>
      <c r="W144" s="358"/>
      <c r="X144" s="358"/>
      <c r="Y144" s="364"/>
      <c r="Z144" s="178" t="s">
        <v>443</v>
      </c>
      <c r="AA144" s="5"/>
      <c r="AB144" s="5"/>
      <c r="AC144" s="5"/>
      <c r="AD144" s="5"/>
      <c r="AE144" s="5"/>
      <c r="AF144" s="5"/>
      <c r="AG144" s="5"/>
      <c r="AH144" s="5"/>
    </row>
    <row r="145" spans="1:34" ht="20.25" customHeight="1" x14ac:dyDescent="0.3">
      <c r="A145" s="495"/>
      <c r="B145" s="510"/>
      <c r="C145" s="365"/>
      <c r="D145" s="358" t="s">
        <v>49</v>
      </c>
      <c r="E145" s="358" t="s">
        <v>92</v>
      </c>
      <c r="F145" s="358">
        <v>5</v>
      </c>
      <c r="G145" s="358" t="s">
        <v>32</v>
      </c>
      <c r="H145" s="358">
        <v>2</v>
      </c>
      <c r="I145" s="361"/>
      <c r="J145" s="358">
        <v>15</v>
      </c>
      <c r="K145" s="358"/>
      <c r="L145" s="358"/>
      <c r="M145" s="358"/>
      <c r="N145" s="230"/>
      <c r="O145" s="178" t="s">
        <v>443</v>
      </c>
      <c r="P145" s="230"/>
      <c r="Q145" s="230"/>
      <c r="R145" s="230"/>
      <c r="S145" s="230"/>
      <c r="T145" s="231"/>
      <c r="U145" s="358"/>
      <c r="V145" s="358"/>
      <c r="W145" s="358"/>
      <c r="X145" s="358"/>
      <c r="Y145" s="364">
        <v>0.5</v>
      </c>
      <c r="Z145" s="178" t="s">
        <v>443</v>
      </c>
      <c r="AA145" s="5"/>
      <c r="AB145" s="5"/>
      <c r="AC145" s="5"/>
      <c r="AD145" s="5"/>
      <c r="AE145" s="5"/>
      <c r="AF145" s="5"/>
      <c r="AG145" s="5"/>
      <c r="AH145" s="5"/>
    </row>
    <row r="146" spans="1:34" ht="20.25" customHeight="1" x14ac:dyDescent="0.2">
      <c r="A146" s="495"/>
      <c r="B146" s="510"/>
      <c r="C146" s="365"/>
      <c r="D146" s="361" t="s">
        <v>81</v>
      </c>
      <c r="E146" s="361" t="s">
        <v>283</v>
      </c>
      <c r="F146" s="358">
        <v>5</v>
      </c>
      <c r="G146" s="361" t="s">
        <v>32</v>
      </c>
      <c r="H146" s="358">
        <v>4</v>
      </c>
      <c r="I146" s="361"/>
      <c r="J146" s="358"/>
      <c r="K146" s="358"/>
      <c r="L146" s="358"/>
      <c r="M146" s="358"/>
      <c r="N146" s="358"/>
      <c r="O146" s="178" t="s">
        <v>443</v>
      </c>
      <c r="P146" s="358"/>
      <c r="Q146" s="358"/>
      <c r="R146" s="358"/>
      <c r="S146" s="358"/>
      <c r="T146" s="358"/>
      <c r="U146" s="358"/>
      <c r="V146" s="358"/>
      <c r="W146" s="358"/>
      <c r="X146" s="358"/>
      <c r="Y146" s="364"/>
      <c r="Z146" s="178" t="s">
        <v>443</v>
      </c>
      <c r="AA146" s="5"/>
      <c r="AB146" s="5"/>
      <c r="AC146" s="5"/>
      <c r="AD146" s="5"/>
      <c r="AE146" s="5"/>
      <c r="AF146" s="5"/>
      <c r="AG146" s="5"/>
      <c r="AH146" s="5"/>
    </row>
    <row r="147" spans="1:34" ht="20.25" customHeight="1" x14ac:dyDescent="0.3">
      <c r="A147" s="495"/>
      <c r="B147" s="510"/>
      <c r="C147" s="365"/>
      <c r="D147" s="358" t="s">
        <v>60</v>
      </c>
      <c r="E147" s="358" t="s">
        <v>99</v>
      </c>
      <c r="F147" s="358">
        <v>5</v>
      </c>
      <c r="G147" s="361" t="s">
        <v>32</v>
      </c>
      <c r="H147" s="361">
        <v>4</v>
      </c>
      <c r="I147" s="361"/>
      <c r="J147" s="230"/>
      <c r="K147" s="231"/>
      <c r="L147" s="231"/>
      <c r="M147" s="231"/>
      <c r="N147" s="231"/>
      <c r="O147" s="178" t="s">
        <v>443</v>
      </c>
      <c r="P147" s="231"/>
      <c r="Q147" s="231"/>
      <c r="R147" s="231"/>
      <c r="S147" s="231"/>
      <c r="T147" s="231"/>
      <c r="U147" s="231"/>
      <c r="V147" s="231"/>
      <c r="W147" s="231"/>
      <c r="X147" s="231"/>
      <c r="Y147" s="366"/>
      <c r="Z147" s="178" t="s">
        <v>443</v>
      </c>
      <c r="AA147" s="5"/>
      <c r="AB147" s="5"/>
      <c r="AC147" s="5"/>
      <c r="AD147" s="5"/>
      <c r="AE147" s="5"/>
      <c r="AF147" s="5"/>
      <c r="AG147" s="5"/>
      <c r="AH147" s="5"/>
    </row>
    <row r="148" spans="1:34" ht="20.25" customHeight="1" x14ac:dyDescent="0.3">
      <c r="A148" s="495"/>
      <c r="B148" s="510"/>
      <c r="C148" s="365"/>
      <c r="D148" s="225" t="s">
        <v>114</v>
      </c>
      <c r="E148" s="358" t="s">
        <v>150</v>
      </c>
      <c r="F148" s="358">
        <v>5</v>
      </c>
      <c r="G148" s="361" t="s">
        <v>32</v>
      </c>
      <c r="H148" s="358">
        <v>2</v>
      </c>
      <c r="I148" s="361"/>
      <c r="J148" s="358"/>
      <c r="K148" s="358"/>
      <c r="L148" s="358"/>
      <c r="M148" s="358"/>
      <c r="N148" s="230"/>
      <c r="O148" s="178" t="s">
        <v>443</v>
      </c>
      <c r="P148" s="230"/>
      <c r="Q148" s="230"/>
      <c r="R148" s="230"/>
      <c r="S148" s="230"/>
      <c r="T148" s="231"/>
      <c r="U148" s="358"/>
      <c r="V148" s="358"/>
      <c r="W148" s="358"/>
      <c r="X148" s="358"/>
      <c r="Y148" s="364"/>
      <c r="Z148" s="178" t="s">
        <v>443</v>
      </c>
      <c r="AA148" s="5"/>
      <c r="AB148" s="5"/>
      <c r="AC148" s="5"/>
      <c r="AD148" s="5"/>
      <c r="AE148" s="5"/>
      <c r="AF148" s="5"/>
      <c r="AG148" s="5"/>
      <c r="AH148" s="5"/>
    </row>
    <row r="149" spans="1:34" ht="20.25" customHeight="1" x14ac:dyDescent="0.3">
      <c r="A149" s="492"/>
      <c r="B149" s="511"/>
      <c r="C149" s="363"/>
      <c r="D149" s="225" t="s">
        <v>46</v>
      </c>
      <c r="E149" s="361" t="s">
        <v>85</v>
      </c>
      <c r="F149" s="358">
        <v>5</v>
      </c>
      <c r="G149" s="361" t="s">
        <v>32</v>
      </c>
      <c r="H149" s="361">
        <v>3</v>
      </c>
      <c r="I149" s="361"/>
      <c r="J149" s="358"/>
      <c r="K149" s="358"/>
      <c r="L149" s="358"/>
      <c r="M149" s="358"/>
      <c r="N149" s="230"/>
      <c r="O149" s="178" t="s">
        <v>443</v>
      </c>
      <c r="P149" s="230"/>
      <c r="Q149" s="230"/>
      <c r="R149" s="230"/>
      <c r="S149" s="230"/>
      <c r="T149" s="231"/>
      <c r="U149" s="358"/>
      <c r="V149" s="358"/>
      <c r="W149" s="358"/>
      <c r="X149" s="358"/>
      <c r="Y149" s="364"/>
      <c r="Z149" s="178" t="s">
        <v>443</v>
      </c>
      <c r="AA149" s="5"/>
      <c r="AB149" s="5"/>
      <c r="AC149" s="5"/>
      <c r="AD149" s="5"/>
      <c r="AE149" s="5"/>
      <c r="AF149" s="5"/>
      <c r="AG149" s="5"/>
      <c r="AH149" s="5"/>
    </row>
    <row r="150" spans="1:34" s="18" customFormat="1" ht="25.5" customHeight="1" x14ac:dyDescent="0.3">
      <c r="A150" s="195"/>
      <c r="B150" s="404" t="s">
        <v>344</v>
      </c>
      <c r="C150" s="355"/>
      <c r="D150" s="174" t="s">
        <v>170</v>
      </c>
      <c r="E150" s="174" t="s">
        <v>294</v>
      </c>
      <c r="F150" s="174">
        <v>5</v>
      </c>
      <c r="G150" s="174" t="s">
        <v>35</v>
      </c>
      <c r="H150" s="176">
        <v>25</v>
      </c>
      <c r="I150" s="176">
        <v>30</v>
      </c>
      <c r="J150" s="174">
        <v>8</v>
      </c>
      <c r="K150" s="174">
        <v>7</v>
      </c>
      <c r="L150" s="174"/>
      <c r="M150" s="174">
        <v>15</v>
      </c>
      <c r="N150" s="174"/>
      <c r="O150" s="174">
        <v>3</v>
      </c>
      <c r="P150" s="174"/>
      <c r="Q150" s="230"/>
      <c r="R150" s="230"/>
      <c r="S150" s="230"/>
      <c r="T150" s="231"/>
      <c r="U150" s="174"/>
      <c r="V150" s="174"/>
      <c r="W150" s="174"/>
      <c r="X150" s="174"/>
      <c r="Y150" s="232">
        <v>2.1</v>
      </c>
      <c r="Z150" s="235" t="s">
        <v>445</v>
      </c>
    </row>
    <row r="151" spans="1:34" s="18" customFormat="1" ht="25.5" customHeight="1" x14ac:dyDescent="0.3">
      <c r="A151" s="195"/>
      <c r="B151" s="405"/>
      <c r="C151" s="355"/>
      <c r="D151" s="174" t="s">
        <v>170</v>
      </c>
      <c r="E151" s="174" t="s">
        <v>531</v>
      </c>
      <c r="F151" s="174">
        <v>5</v>
      </c>
      <c r="G151" s="174" t="s">
        <v>35</v>
      </c>
      <c r="H151" s="176">
        <v>25</v>
      </c>
      <c r="I151" s="176"/>
      <c r="J151" s="174">
        <v>8</v>
      </c>
      <c r="K151" s="174">
        <v>7</v>
      </c>
      <c r="L151" s="174"/>
      <c r="M151" s="174"/>
      <c r="N151" s="174"/>
      <c r="O151" s="174">
        <v>3</v>
      </c>
      <c r="P151" s="174"/>
      <c r="Q151" s="230"/>
      <c r="R151" s="230"/>
      <c r="S151" s="230"/>
      <c r="T151" s="231"/>
      <c r="U151" s="174"/>
      <c r="V151" s="174"/>
      <c r="W151" s="174"/>
      <c r="X151" s="174"/>
      <c r="Y151" s="232">
        <v>0.6</v>
      </c>
      <c r="Z151" s="235" t="s">
        <v>445</v>
      </c>
    </row>
    <row r="152" spans="1:34" s="18" customFormat="1" ht="25.5" customHeight="1" x14ac:dyDescent="0.3">
      <c r="A152" s="195"/>
      <c r="B152" s="405"/>
      <c r="C152" s="355"/>
      <c r="D152" s="225" t="s">
        <v>44</v>
      </c>
      <c r="E152" s="176" t="s">
        <v>297</v>
      </c>
      <c r="F152" s="174">
        <v>5</v>
      </c>
      <c r="G152" s="176" t="s">
        <v>35</v>
      </c>
      <c r="H152" s="176">
        <v>30</v>
      </c>
      <c r="I152" s="176"/>
      <c r="J152" s="174">
        <v>8</v>
      </c>
      <c r="K152" s="174">
        <v>7</v>
      </c>
      <c r="L152" s="174"/>
      <c r="M152" s="174"/>
      <c r="N152" s="174"/>
      <c r="O152" s="174">
        <v>3</v>
      </c>
      <c r="P152" s="174"/>
      <c r="Q152" s="230"/>
      <c r="R152" s="230"/>
      <c r="S152" s="230"/>
      <c r="T152" s="231"/>
      <c r="U152" s="174"/>
      <c r="V152" s="174"/>
      <c r="W152" s="174"/>
      <c r="X152" s="174"/>
      <c r="Y152" s="232">
        <v>0.6</v>
      </c>
      <c r="Z152" s="235" t="s">
        <v>445</v>
      </c>
    </row>
    <row r="153" spans="1:34" s="18" customFormat="1" ht="25.5" customHeight="1" x14ac:dyDescent="0.3">
      <c r="A153" s="195"/>
      <c r="B153" s="405"/>
      <c r="C153" s="355"/>
      <c r="D153" s="174" t="s">
        <v>49</v>
      </c>
      <c r="E153" s="174" t="s">
        <v>291</v>
      </c>
      <c r="F153" s="174">
        <v>5</v>
      </c>
      <c r="G153" s="174" t="s">
        <v>35</v>
      </c>
      <c r="H153" s="176">
        <v>27</v>
      </c>
      <c r="I153" s="176"/>
      <c r="J153" s="174">
        <v>8</v>
      </c>
      <c r="K153" s="174">
        <v>7</v>
      </c>
      <c r="L153" s="174"/>
      <c r="M153" s="174"/>
      <c r="N153" s="174"/>
      <c r="O153" s="174">
        <v>3</v>
      </c>
      <c r="P153" s="174"/>
      <c r="Q153" s="230"/>
      <c r="R153" s="230"/>
      <c r="S153" s="230"/>
      <c r="T153" s="231"/>
      <c r="U153" s="174"/>
      <c r="V153" s="174"/>
      <c r="W153" s="174"/>
      <c r="X153" s="174"/>
      <c r="Y153" s="232">
        <v>0.6</v>
      </c>
      <c r="Z153" s="235" t="s">
        <v>445</v>
      </c>
    </row>
    <row r="154" spans="1:34" s="18" customFormat="1" ht="25.5" customHeight="1" x14ac:dyDescent="0.3">
      <c r="A154" s="195"/>
      <c r="B154" s="405"/>
      <c r="C154" s="355"/>
      <c r="D154" s="176" t="s">
        <v>210</v>
      </c>
      <c r="E154" s="176" t="s">
        <v>293</v>
      </c>
      <c r="F154" s="174">
        <v>5</v>
      </c>
      <c r="G154" s="176" t="s">
        <v>35</v>
      </c>
      <c r="H154" s="176">
        <v>15</v>
      </c>
      <c r="I154" s="176"/>
      <c r="J154" s="174">
        <v>8</v>
      </c>
      <c r="K154" s="174">
        <v>7</v>
      </c>
      <c r="L154" s="174"/>
      <c r="M154" s="174"/>
      <c r="N154" s="174"/>
      <c r="O154" s="174">
        <v>3</v>
      </c>
      <c r="P154" s="174"/>
      <c r="Q154" s="230"/>
      <c r="R154" s="230"/>
      <c r="S154" s="230"/>
      <c r="T154" s="231"/>
      <c r="U154" s="174"/>
      <c r="V154" s="174"/>
      <c r="W154" s="174"/>
      <c r="X154" s="174"/>
      <c r="Y154" s="232">
        <v>0.6</v>
      </c>
      <c r="Z154" s="235" t="s">
        <v>445</v>
      </c>
    </row>
    <row r="155" spans="1:34" s="18" customFormat="1" ht="25.5" customHeight="1" x14ac:dyDescent="0.3">
      <c r="A155" s="195"/>
      <c r="B155" s="405"/>
      <c r="C155" s="355"/>
      <c r="D155" s="174" t="s">
        <v>61</v>
      </c>
      <c r="E155" s="174" t="s">
        <v>298</v>
      </c>
      <c r="F155" s="174">
        <v>5</v>
      </c>
      <c r="G155" s="176" t="s">
        <v>35</v>
      </c>
      <c r="H155" s="176">
        <v>14</v>
      </c>
      <c r="I155" s="176"/>
      <c r="J155" s="174"/>
      <c r="K155" s="174"/>
      <c r="L155" s="174"/>
      <c r="M155" s="174"/>
      <c r="N155" s="174"/>
      <c r="O155" s="174"/>
      <c r="P155" s="174"/>
      <c r="Q155" s="230"/>
      <c r="R155" s="230"/>
      <c r="S155" s="230"/>
      <c r="T155" s="231"/>
      <c r="U155" s="174"/>
      <c r="V155" s="174"/>
      <c r="W155" s="174"/>
      <c r="X155" s="174"/>
      <c r="Y155" s="232"/>
      <c r="Z155" s="235" t="s">
        <v>445</v>
      </c>
    </row>
    <row r="156" spans="1:34" s="18" customFormat="1" ht="25.5" customHeight="1" x14ac:dyDescent="0.3">
      <c r="A156" s="195"/>
      <c r="B156" s="405"/>
      <c r="C156" s="355"/>
      <c r="D156" s="225" t="s">
        <v>43</v>
      </c>
      <c r="E156" s="176" t="s">
        <v>322</v>
      </c>
      <c r="F156" s="174">
        <v>5</v>
      </c>
      <c r="G156" s="176" t="s">
        <v>35</v>
      </c>
      <c r="H156" s="176">
        <v>23</v>
      </c>
      <c r="I156" s="176">
        <v>30</v>
      </c>
      <c r="J156" s="174">
        <v>8</v>
      </c>
      <c r="K156" s="174">
        <v>7</v>
      </c>
      <c r="L156" s="174"/>
      <c r="M156" s="174">
        <v>15</v>
      </c>
      <c r="N156" s="174"/>
      <c r="O156" s="174">
        <v>3</v>
      </c>
      <c r="P156" s="174"/>
      <c r="Q156" s="230"/>
      <c r="R156" s="230"/>
      <c r="S156" s="230"/>
      <c r="T156" s="231"/>
      <c r="U156" s="174"/>
      <c r="V156" s="174"/>
      <c r="W156" s="174"/>
      <c r="X156" s="174"/>
      <c r="Y156" s="232">
        <v>2.1</v>
      </c>
      <c r="Z156" s="235" t="s">
        <v>445</v>
      </c>
    </row>
    <row r="157" spans="1:34" s="18" customFormat="1" ht="25.5" customHeight="1" x14ac:dyDescent="0.3">
      <c r="A157" s="195"/>
      <c r="B157" s="405"/>
      <c r="C157" s="355"/>
      <c r="D157" s="176" t="s">
        <v>60</v>
      </c>
      <c r="E157" s="176" t="s">
        <v>295</v>
      </c>
      <c r="F157" s="174">
        <v>5</v>
      </c>
      <c r="G157" s="174" t="s">
        <v>35</v>
      </c>
      <c r="H157" s="176">
        <v>30</v>
      </c>
      <c r="I157" s="176"/>
      <c r="J157" s="174">
        <v>8</v>
      </c>
      <c r="K157" s="174">
        <v>7</v>
      </c>
      <c r="L157" s="174"/>
      <c r="M157" s="174"/>
      <c r="N157" s="174"/>
      <c r="O157" s="174">
        <v>3</v>
      </c>
      <c r="P157" s="174"/>
      <c r="Q157" s="230"/>
      <c r="R157" s="230"/>
      <c r="S157" s="230"/>
      <c r="T157" s="231"/>
      <c r="U157" s="174"/>
      <c r="V157" s="174"/>
      <c r="W157" s="174"/>
      <c r="X157" s="174"/>
      <c r="Y157" s="232">
        <v>0.6</v>
      </c>
      <c r="Z157" s="235" t="s">
        <v>445</v>
      </c>
    </row>
    <row r="158" spans="1:34" s="18" customFormat="1" ht="25.5" customHeight="1" x14ac:dyDescent="0.3">
      <c r="A158" s="195"/>
      <c r="B158" s="405"/>
      <c r="C158" s="355"/>
      <c r="D158" s="225" t="s">
        <v>114</v>
      </c>
      <c r="E158" s="174" t="s">
        <v>296</v>
      </c>
      <c r="F158" s="174">
        <v>5</v>
      </c>
      <c r="G158" s="176" t="s">
        <v>35</v>
      </c>
      <c r="H158" s="176">
        <v>30</v>
      </c>
      <c r="I158" s="176"/>
      <c r="J158" s="174">
        <v>8</v>
      </c>
      <c r="K158" s="174">
        <v>7</v>
      </c>
      <c r="L158" s="174"/>
      <c r="M158" s="174"/>
      <c r="N158" s="174"/>
      <c r="O158" s="174">
        <v>3</v>
      </c>
      <c r="P158" s="174"/>
      <c r="Q158" s="230"/>
      <c r="R158" s="230"/>
      <c r="S158" s="230"/>
      <c r="T158" s="231"/>
      <c r="U158" s="174"/>
      <c r="V158" s="174"/>
      <c r="W158" s="174"/>
      <c r="X158" s="174"/>
      <c r="Y158" s="232">
        <v>0.6</v>
      </c>
      <c r="Z158" s="235" t="s">
        <v>445</v>
      </c>
    </row>
    <row r="159" spans="1:34" s="18" customFormat="1" ht="25.5" customHeight="1" x14ac:dyDescent="0.3">
      <c r="A159" s="195"/>
      <c r="B159" s="405"/>
      <c r="C159" s="355"/>
      <c r="D159" s="225" t="s">
        <v>46</v>
      </c>
      <c r="E159" s="176" t="s">
        <v>301</v>
      </c>
      <c r="F159" s="174">
        <v>5</v>
      </c>
      <c r="G159" s="176" t="s">
        <v>35</v>
      </c>
      <c r="H159" s="176">
        <v>30</v>
      </c>
      <c r="I159" s="176"/>
      <c r="J159" s="174">
        <v>8</v>
      </c>
      <c r="K159" s="174">
        <v>7</v>
      </c>
      <c r="L159" s="174"/>
      <c r="M159" s="174"/>
      <c r="N159" s="174"/>
      <c r="O159" s="174">
        <v>3</v>
      </c>
      <c r="P159" s="174"/>
      <c r="Q159" s="230"/>
      <c r="R159" s="230"/>
      <c r="S159" s="230"/>
      <c r="T159" s="231"/>
      <c r="U159" s="174"/>
      <c r="V159" s="174"/>
      <c r="W159" s="174"/>
      <c r="X159" s="174"/>
      <c r="Y159" s="232">
        <v>0.6</v>
      </c>
      <c r="Z159" s="235" t="s">
        <v>445</v>
      </c>
    </row>
    <row r="160" spans="1:34" s="18" customFormat="1" ht="25.5" customHeight="1" x14ac:dyDescent="0.3">
      <c r="A160" s="195"/>
      <c r="B160" s="405"/>
      <c r="C160" s="355"/>
      <c r="D160" s="174" t="s">
        <v>51</v>
      </c>
      <c r="E160" s="174" t="s">
        <v>299</v>
      </c>
      <c r="F160" s="174">
        <v>5</v>
      </c>
      <c r="G160" s="176" t="s">
        <v>35</v>
      </c>
      <c r="H160" s="176">
        <v>26</v>
      </c>
      <c r="I160" s="176"/>
      <c r="J160" s="174">
        <v>8</v>
      </c>
      <c r="K160" s="174">
        <v>7</v>
      </c>
      <c r="L160" s="174"/>
      <c r="M160" s="174"/>
      <c r="N160" s="174"/>
      <c r="O160" s="174">
        <v>3</v>
      </c>
      <c r="P160" s="174"/>
      <c r="Q160" s="230"/>
      <c r="R160" s="230"/>
      <c r="S160" s="230"/>
      <c r="T160" s="231"/>
      <c r="U160" s="174"/>
      <c r="V160" s="174"/>
      <c r="W160" s="174"/>
      <c r="X160" s="174"/>
      <c r="Y160" s="232">
        <v>0.6</v>
      </c>
      <c r="Z160" s="235" t="s">
        <v>445</v>
      </c>
    </row>
    <row r="161" spans="1:34" s="18" customFormat="1" ht="25.5" customHeight="1" x14ac:dyDescent="0.3">
      <c r="A161" s="195"/>
      <c r="B161" s="405"/>
      <c r="C161" s="355"/>
      <c r="D161" s="174" t="s">
        <v>170</v>
      </c>
      <c r="E161" s="174" t="s">
        <v>306</v>
      </c>
      <c r="F161" s="174">
        <v>5</v>
      </c>
      <c r="G161" s="174" t="s">
        <v>32</v>
      </c>
      <c r="H161" s="176">
        <v>21</v>
      </c>
      <c r="I161" s="176">
        <v>30</v>
      </c>
      <c r="J161" s="174">
        <v>8</v>
      </c>
      <c r="K161" s="174">
        <v>7</v>
      </c>
      <c r="L161" s="174"/>
      <c r="M161" s="174">
        <v>15</v>
      </c>
      <c r="N161" s="174"/>
      <c r="O161" s="174">
        <v>3</v>
      </c>
      <c r="P161" s="174"/>
      <c r="Q161" s="230"/>
      <c r="R161" s="230"/>
      <c r="S161" s="230"/>
      <c r="T161" s="231"/>
      <c r="U161" s="174"/>
      <c r="V161" s="174"/>
      <c r="W161" s="174"/>
      <c r="X161" s="174"/>
      <c r="Y161" s="232">
        <v>2.1</v>
      </c>
      <c r="Z161" s="235" t="s">
        <v>532</v>
      </c>
    </row>
    <row r="162" spans="1:34" s="18" customFormat="1" ht="25.5" customHeight="1" x14ac:dyDescent="0.3">
      <c r="A162" s="195"/>
      <c r="B162" s="405"/>
      <c r="C162" s="355"/>
      <c r="D162" s="174" t="s">
        <v>61</v>
      </c>
      <c r="E162" s="174" t="s">
        <v>307</v>
      </c>
      <c r="F162" s="174">
        <v>5</v>
      </c>
      <c r="G162" s="174" t="s">
        <v>32</v>
      </c>
      <c r="H162" s="176">
        <v>11</v>
      </c>
      <c r="I162" s="176"/>
      <c r="J162" s="174">
        <v>8</v>
      </c>
      <c r="K162" s="174">
        <v>7</v>
      </c>
      <c r="L162" s="174"/>
      <c r="M162" s="174"/>
      <c r="N162" s="174"/>
      <c r="O162" s="174">
        <v>3</v>
      </c>
      <c r="P162" s="174"/>
      <c r="Q162" s="230"/>
      <c r="R162" s="230"/>
      <c r="S162" s="230"/>
      <c r="T162" s="231"/>
      <c r="U162" s="174"/>
      <c r="V162" s="174"/>
      <c r="W162" s="174"/>
      <c r="X162" s="174"/>
      <c r="Y162" s="232">
        <v>0.6</v>
      </c>
      <c r="Z162" s="235" t="s">
        <v>532</v>
      </c>
    </row>
    <row r="163" spans="1:34" s="18" customFormat="1" ht="25.5" customHeight="1" x14ac:dyDescent="0.3">
      <c r="A163" s="195"/>
      <c r="B163" s="405"/>
      <c r="C163" s="355"/>
      <c r="D163" s="225" t="s">
        <v>44</v>
      </c>
      <c r="E163" s="176" t="s">
        <v>308</v>
      </c>
      <c r="F163" s="174">
        <v>5</v>
      </c>
      <c r="G163" s="174" t="s">
        <v>32</v>
      </c>
      <c r="H163" s="176">
        <v>7</v>
      </c>
      <c r="I163" s="176"/>
      <c r="J163" s="174"/>
      <c r="K163" s="174"/>
      <c r="L163" s="174"/>
      <c r="M163" s="174"/>
      <c r="N163" s="174"/>
      <c r="O163" s="174"/>
      <c r="P163" s="174"/>
      <c r="Q163" s="230"/>
      <c r="R163" s="230"/>
      <c r="S163" s="230"/>
      <c r="T163" s="231"/>
      <c r="U163" s="174"/>
      <c r="V163" s="174"/>
      <c r="W163" s="174"/>
      <c r="X163" s="174"/>
      <c r="Y163" s="232"/>
      <c r="Z163" s="235" t="s">
        <v>532</v>
      </c>
    </row>
    <row r="164" spans="1:34" s="18" customFormat="1" ht="25.5" customHeight="1" x14ac:dyDescent="0.2">
      <c r="A164" s="195"/>
      <c r="B164" s="405"/>
      <c r="C164" s="355"/>
      <c r="D164" s="176" t="s">
        <v>210</v>
      </c>
      <c r="E164" s="176" t="s">
        <v>323</v>
      </c>
      <c r="F164" s="174">
        <v>5</v>
      </c>
      <c r="G164" s="174" t="s">
        <v>32</v>
      </c>
      <c r="H164" s="176">
        <v>4</v>
      </c>
      <c r="I164" s="176"/>
      <c r="J164" s="174"/>
      <c r="K164" s="174"/>
      <c r="L164" s="174"/>
      <c r="M164" s="174"/>
      <c r="N164" s="174"/>
      <c r="O164" s="174"/>
      <c r="P164" s="174"/>
      <c r="Q164" s="174"/>
      <c r="R164" s="174"/>
      <c r="S164" s="174"/>
      <c r="T164" s="174"/>
      <c r="U164" s="174"/>
      <c r="V164" s="174"/>
      <c r="W164" s="174"/>
      <c r="X164" s="174"/>
      <c r="Y164" s="239"/>
      <c r="Z164" s="235" t="s">
        <v>532</v>
      </c>
    </row>
    <row r="165" spans="1:34" s="18" customFormat="1" ht="25.5" customHeight="1" x14ac:dyDescent="0.3">
      <c r="A165" s="195"/>
      <c r="B165" s="405"/>
      <c r="C165" s="355"/>
      <c r="D165" s="225" t="s">
        <v>43</v>
      </c>
      <c r="E165" s="176" t="s">
        <v>309</v>
      </c>
      <c r="F165" s="174">
        <v>5</v>
      </c>
      <c r="G165" s="174" t="s">
        <v>32</v>
      </c>
      <c r="H165" s="176">
        <v>7</v>
      </c>
      <c r="I165" s="176"/>
      <c r="J165" s="174"/>
      <c r="K165" s="174"/>
      <c r="L165" s="174"/>
      <c r="M165" s="174"/>
      <c r="N165" s="174"/>
      <c r="O165" s="174"/>
      <c r="P165" s="174"/>
      <c r="Q165" s="230"/>
      <c r="R165" s="230"/>
      <c r="S165" s="230"/>
      <c r="T165" s="231"/>
      <c r="U165" s="174"/>
      <c r="V165" s="174"/>
      <c r="W165" s="174"/>
      <c r="X165" s="174"/>
      <c r="Y165" s="232"/>
      <c r="Z165" s="235" t="s">
        <v>532</v>
      </c>
    </row>
    <row r="166" spans="1:34" s="18" customFormat="1" ht="25.5" customHeight="1" x14ac:dyDescent="0.3">
      <c r="A166" s="195"/>
      <c r="B166" s="405"/>
      <c r="C166" s="355"/>
      <c r="D166" s="174" t="s">
        <v>51</v>
      </c>
      <c r="E166" s="174" t="s">
        <v>314</v>
      </c>
      <c r="F166" s="174">
        <v>5</v>
      </c>
      <c r="G166" s="174" t="s">
        <v>32</v>
      </c>
      <c r="H166" s="176">
        <v>9</v>
      </c>
      <c r="I166" s="176"/>
      <c r="J166" s="174">
        <v>8</v>
      </c>
      <c r="K166" s="174">
        <v>7</v>
      </c>
      <c r="L166" s="174"/>
      <c r="M166" s="174"/>
      <c r="N166" s="174"/>
      <c r="O166" s="174">
        <v>3</v>
      </c>
      <c r="P166" s="174"/>
      <c r="Q166" s="230"/>
      <c r="R166" s="230"/>
      <c r="S166" s="230"/>
      <c r="T166" s="231"/>
      <c r="U166" s="174"/>
      <c r="V166" s="174"/>
      <c r="W166" s="174"/>
      <c r="X166" s="174"/>
      <c r="Y166" s="232">
        <v>0.6</v>
      </c>
      <c r="Z166" s="235" t="s">
        <v>532</v>
      </c>
    </row>
    <row r="167" spans="1:34" s="18" customFormat="1" ht="25.5" customHeight="1" x14ac:dyDescent="0.2">
      <c r="A167" s="195"/>
      <c r="B167" s="405"/>
      <c r="C167" s="355"/>
      <c r="D167" s="176" t="s">
        <v>60</v>
      </c>
      <c r="E167" s="176" t="s">
        <v>310</v>
      </c>
      <c r="F167" s="174">
        <v>5</v>
      </c>
      <c r="G167" s="174" t="s">
        <v>32</v>
      </c>
      <c r="H167" s="176">
        <v>16</v>
      </c>
      <c r="I167" s="176"/>
      <c r="J167" s="174"/>
      <c r="K167" s="174"/>
      <c r="L167" s="174"/>
      <c r="M167" s="174"/>
      <c r="N167" s="174"/>
      <c r="O167" s="174"/>
      <c r="P167" s="174"/>
      <c r="Q167" s="174"/>
      <c r="R167" s="174"/>
      <c r="S167" s="174"/>
      <c r="T167" s="174"/>
      <c r="U167" s="174"/>
      <c r="V167" s="174"/>
      <c r="W167" s="174"/>
      <c r="X167" s="174"/>
      <c r="Y167" s="239"/>
      <c r="Z167" s="235" t="s">
        <v>532</v>
      </c>
    </row>
    <row r="168" spans="1:34" s="18" customFormat="1" ht="25.5" customHeight="1" x14ac:dyDescent="0.3">
      <c r="A168" s="195"/>
      <c r="B168" s="405"/>
      <c r="C168" s="355"/>
      <c r="D168" s="225" t="s">
        <v>114</v>
      </c>
      <c r="E168" s="174" t="s">
        <v>312</v>
      </c>
      <c r="F168" s="174">
        <v>5</v>
      </c>
      <c r="G168" s="174" t="s">
        <v>32</v>
      </c>
      <c r="H168" s="176">
        <v>14</v>
      </c>
      <c r="I168" s="176"/>
      <c r="J168" s="174">
        <v>8</v>
      </c>
      <c r="K168" s="174">
        <v>7</v>
      </c>
      <c r="L168" s="174"/>
      <c r="M168" s="174"/>
      <c r="N168" s="174"/>
      <c r="O168" s="174">
        <v>3</v>
      </c>
      <c r="P168" s="174"/>
      <c r="Q168" s="230"/>
      <c r="R168" s="230"/>
      <c r="S168" s="230"/>
      <c r="T168" s="231"/>
      <c r="U168" s="174"/>
      <c r="V168" s="174"/>
      <c r="W168" s="174"/>
      <c r="X168" s="174"/>
      <c r="Y168" s="232">
        <v>0.6</v>
      </c>
      <c r="Z168" s="235" t="s">
        <v>532</v>
      </c>
    </row>
    <row r="169" spans="1:34" s="18" customFormat="1" ht="25.5" customHeight="1" thickBot="1" x14ac:dyDescent="0.35">
      <c r="A169" s="195"/>
      <c r="B169" s="431"/>
      <c r="C169" s="355"/>
      <c r="D169" s="236" t="s">
        <v>46</v>
      </c>
      <c r="E169" s="237" t="s">
        <v>313</v>
      </c>
      <c r="F169" s="238">
        <v>5</v>
      </c>
      <c r="G169" s="238" t="s">
        <v>32</v>
      </c>
      <c r="H169" s="237">
        <v>12</v>
      </c>
      <c r="I169" s="237"/>
      <c r="J169" s="240"/>
      <c r="K169" s="238"/>
      <c r="L169" s="238"/>
      <c r="M169" s="238"/>
      <c r="N169" s="238"/>
      <c r="O169" s="238"/>
      <c r="P169" s="238"/>
      <c r="Q169" s="238"/>
      <c r="R169" s="238"/>
      <c r="S169" s="238"/>
      <c r="T169" s="238"/>
      <c r="U169" s="238"/>
      <c r="V169" s="238"/>
      <c r="W169" s="238"/>
      <c r="X169" s="238"/>
      <c r="Y169" s="241"/>
      <c r="Z169" s="235" t="s">
        <v>532</v>
      </c>
    </row>
    <row r="170" spans="1:34" ht="21.75" customHeight="1" thickBot="1" x14ac:dyDescent="0.25">
      <c r="A170" s="508" t="s">
        <v>33</v>
      </c>
      <c r="B170" s="436"/>
      <c r="C170" s="436"/>
      <c r="D170" s="436"/>
      <c r="E170" s="436"/>
      <c r="F170" s="436"/>
      <c r="G170" s="436"/>
      <c r="H170" s="436"/>
      <c r="I170" s="56">
        <f t="shared" ref="I170:Y170" si="0">SUM(I13:I169)</f>
        <v>1170</v>
      </c>
      <c r="J170" s="56">
        <f t="shared" si="0"/>
        <v>2657</v>
      </c>
      <c r="K170" s="56">
        <f t="shared" si="0"/>
        <v>147</v>
      </c>
      <c r="L170" s="56">
        <f t="shared" si="0"/>
        <v>0</v>
      </c>
      <c r="M170" s="56">
        <f t="shared" si="0"/>
        <v>945</v>
      </c>
      <c r="N170" s="56">
        <f t="shared" si="0"/>
        <v>0</v>
      </c>
      <c r="O170" s="56">
        <f t="shared" si="0"/>
        <v>285</v>
      </c>
      <c r="P170" s="56">
        <f t="shared" si="0"/>
        <v>0</v>
      </c>
      <c r="Q170" s="56">
        <f t="shared" si="0"/>
        <v>0</v>
      </c>
      <c r="R170" s="56">
        <f t="shared" si="0"/>
        <v>0</v>
      </c>
      <c r="S170" s="56">
        <f t="shared" si="0"/>
        <v>0</v>
      </c>
      <c r="T170" s="56">
        <f t="shared" si="0"/>
        <v>0</v>
      </c>
      <c r="U170" s="56">
        <f t="shared" si="0"/>
        <v>0</v>
      </c>
      <c r="V170" s="56">
        <f t="shared" si="0"/>
        <v>0</v>
      </c>
      <c r="W170" s="56">
        <f t="shared" si="0"/>
        <v>0</v>
      </c>
      <c r="X170" s="56">
        <f t="shared" si="0"/>
        <v>0</v>
      </c>
      <c r="Y170" s="56">
        <f t="shared" si="0"/>
        <v>171.00999999999971</v>
      </c>
      <c r="Z170" s="5"/>
      <c r="AA170" s="5"/>
      <c r="AB170" s="5"/>
      <c r="AC170" s="5"/>
      <c r="AD170" s="5"/>
      <c r="AE170" s="5"/>
      <c r="AF170" s="5"/>
      <c r="AG170" s="5"/>
      <c r="AH170" s="5"/>
    </row>
    <row r="171" spans="1:34" s="7" customFormat="1" ht="25.5" customHeight="1" thickBot="1" x14ac:dyDescent="0.25">
      <c r="A171" s="434" t="s">
        <v>31</v>
      </c>
      <c r="B171" s="435"/>
      <c r="C171" s="435"/>
      <c r="D171" s="435"/>
      <c r="E171" s="435"/>
      <c r="F171" s="435"/>
      <c r="G171" s="435"/>
      <c r="H171" s="435"/>
      <c r="I171" s="112" t="e">
        <f>I170+#REF!</f>
        <v>#REF!</v>
      </c>
      <c r="J171" s="112" t="e">
        <f>J170+#REF!</f>
        <v>#REF!</v>
      </c>
      <c r="K171" s="112" t="e">
        <f>K170+#REF!</f>
        <v>#REF!</v>
      </c>
      <c r="L171" s="112" t="e">
        <f>L170+#REF!</f>
        <v>#REF!</v>
      </c>
      <c r="M171" s="112" t="e">
        <f>M170+#REF!</f>
        <v>#REF!</v>
      </c>
      <c r="N171" s="112" t="e">
        <f>N170+#REF!</f>
        <v>#REF!</v>
      </c>
      <c r="O171" s="112" t="e">
        <f>O170+#REF!</f>
        <v>#REF!</v>
      </c>
      <c r="P171" s="112" t="e">
        <f>P170+#REF!</f>
        <v>#REF!</v>
      </c>
      <c r="Q171" s="112" t="e">
        <f>Q170+#REF!</f>
        <v>#REF!</v>
      </c>
      <c r="R171" s="112" t="e">
        <f>R170+#REF!</f>
        <v>#REF!</v>
      </c>
      <c r="S171" s="112" t="e">
        <f>S170+#REF!</f>
        <v>#REF!</v>
      </c>
      <c r="T171" s="112" t="e">
        <f>T170+#REF!</f>
        <v>#REF!</v>
      </c>
      <c r="U171" s="112" t="e">
        <f>U170+#REF!</f>
        <v>#REF!</v>
      </c>
      <c r="V171" s="112" t="e">
        <f>V170+#REF!</f>
        <v>#REF!</v>
      </c>
      <c r="W171" s="112" t="e">
        <f>W170+#REF!</f>
        <v>#REF!</v>
      </c>
      <c r="X171" s="112" t="e">
        <f>X170+#REF!</f>
        <v>#REF!</v>
      </c>
      <c r="Y171" s="112" t="e">
        <f>Y170+#REF!</f>
        <v>#REF!</v>
      </c>
      <c r="Z171" s="4"/>
      <c r="AA171" s="4"/>
      <c r="AB171" s="4"/>
      <c r="AC171" s="4"/>
      <c r="AD171" s="4"/>
      <c r="AE171" s="4"/>
      <c r="AF171" s="4"/>
      <c r="AG171" s="4"/>
      <c r="AH171" s="4"/>
    </row>
    <row r="172" spans="1:34" s="7" customFormat="1" ht="25.5" customHeight="1" x14ac:dyDescent="0.2">
      <c r="A172" s="120"/>
      <c r="B172" s="32"/>
      <c r="C172" s="32"/>
      <c r="D172" s="116"/>
      <c r="E172" s="116"/>
      <c r="F172" s="116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6"/>
      <c r="V172" s="116"/>
      <c r="W172" s="116"/>
      <c r="X172" s="116"/>
      <c r="Y172" s="30"/>
      <c r="Z172" s="4"/>
      <c r="AA172" s="4"/>
      <c r="AB172" s="4"/>
      <c r="AC172" s="4"/>
      <c r="AD172" s="4"/>
      <c r="AE172" s="4"/>
      <c r="AF172" s="4"/>
      <c r="AG172" s="4"/>
      <c r="AH172" s="4"/>
    </row>
    <row r="173" spans="1:34" s="1" customFormat="1" x14ac:dyDescent="0.3">
      <c r="A173" s="23"/>
      <c r="B173" s="119" t="s">
        <v>56</v>
      </c>
      <c r="C173" s="275"/>
      <c r="D173" s="6"/>
      <c r="E173" s="6"/>
      <c r="F173" s="119"/>
      <c r="G173" s="118"/>
      <c r="H173" s="118"/>
      <c r="I173" s="118"/>
      <c r="J173" s="119" t="s">
        <v>40</v>
      </c>
      <c r="K173" s="26"/>
      <c r="L173" s="119" t="s">
        <v>118</v>
      </c>
      <c r="M173" s="26"/>
      <c r="N173" s="26"/>
      <c r="O173" s="27"/>
      <c r="P173" s="26"/>
      <c r="Q173" s="27"/>
      <c r="R173" s="26"/>
      <c r="S173" s="26"/>
      <c r="T173" s="26"/>
      <c r="U173" s="6"/>
      <c r="V173" s="6"/>
      <c r="W173" s="6"/>
      <c r="X173" s="6"/>
      <c r="Y173" s="28"/>
    </row>
    <row r="174" spans="1:34" s="1" customFormat="1" x14ac:dyDescent="0.3">
      <c r="A174" s="23"/>
      <c r="B174" s="394" t="s">
        <v>159</v>
      </c>
      <c r="C174" s="394"/>
      <c r="D174" s="394"/>
      <c r="E174" s="394"/>
      <c r="F174" s="6"/>
      <c r="G174" s="118"/>
      <c r="H174" s="118"/>
      <c r="I174" s="118"/>
      <c r="J174" s="120"/>
      <c r="K174" s="26"/>
      <c r="L174" s="26" t="s">
        <v>158</v>
      </c>
      <c r="M174" s="26"/>
      <c r="N174" s="26"/>
      <c r="O174" s="6"/>
      <c r="P174" s="6"/>
      <c r="Q174" s="23"/>
      <c r="R174" s="6"/>
      <c r="S174" s="120"/>
      <c r="T174" s="120"/>
      <c r="U174" s="6"/>
      <c r="V174" s="120"/>
      <c r="W174" s="120"/>
      <c r="X174" s="6"/>
      <c r="Y174" s="28"/>
    </row>
    <row r="175" spans="1:34" s="7" customFormat="1" ht="25.5" customHeight="1" x14ac:dyDescent="0.3">
      <c r="A175" s="118"/>
      <c r="B175" s="31"/>
      <c r="C175" s="31"/>
      <c r="D175" s="6"/>
      <c r="E175" s="6"/>
      <c r="F175" s="6"/>
      <c r="G175" s="118"/>
      <c r="H175" s="118"/>
      <c r="I175" s="118"/>
      <c r="J175" s="118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28"/>
      <c r="Z175" s="4"/>
      <c r="AA175" s="4"/>
      <c r="AB175" s="4"/>
      <c r="AC175" s="4"/>
      <c r="AD175" s="4"/>
      <c r="AE175" s="4"/>
      <c r="AF175" s="4"/>
      <c r="AG175" s="4"/>
      <c r="AH175" s="4"/>
    </row>
    <row r="176" spans="1:34" s="4" customFormat="1" ht="21.75" customHeight="1" x14ac:dyDescent="0.3">
      <c r="A176" s="118"/>
      <c r="B176" s="31"/>
      <c r="C176" s="31"/>
      <c r="D176" s="6"/>
      <c r="E176" s="6"/>
      <c r="F176" s="6"/>
      <c r="G176" s="118"/>
      <c r="H176" s="118"/>
      <c r="I176" s="118"/>
      <c r="J176" s="118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28"/>
    </row>
    <row r="177" spans="1:34" s="7" customFormat="1" ht="25.5" customHeight="1" x14ac:dyDescent="0.3">
      <c r="A177" s="118"/>
      <c r="B177" s="31"/>
      <c r="C177" s="31"/>
      <c r="D177" s="6"/>
      <c r="E177" s="6"/>
      <c r="F177" s="6"/>
      <c r="G177" s="118"/>
      <c r="H177" s="118"/>
      <c r="I177" s="118"/>
      <c r="J177" s="118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28"/>
      <c r="Z177" s="4"/>
      <c r="AA177" s="4"/>
      <c r="AB177" s="4"/>
      <c r="AC177" s="4"/>
      <c r="AD177" s="4"/>
      <c r="AE177" s="4"/>
      <c r="AF177" s="4"/>
      <c r="AG177" s="4"/>
      <c r="AH177" s="4"/>
    </row>
    <row r="178" spans="1:34" s="7" customFormat="1" ht="25.5" customHeight="1" x14ac:dyDescent="0.3">
      <c r="A178" s="118"/>
      <c r="B178" s="31"/>
      <c r="C178" s="31"/>
      <c r="D178" s="6"/>
      <c r="E178" s="6"/>
      <c r="F178" s="6"/>
      <c r="G178" s="118"/>
      <c r="H178" s="118"/>
      <c r="I178" s="118"/>
      <c r="J178" s="118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28"/>
      <c r="Z178" s="4"/>
      <c r="AA178" s="4"/>
      <c r="AB178" s="4"/>
      <c r="AC178" s="4"/>
      <c r="AD178" s="4"/>
      <c r="AE178" s="4"/>
      <c r="AF178" s="4"/>
      <c r="AG178" s="4"/>
      <c r="AH178" s="4"/>
    </row>
    <row r="179" spans="1:34" s="7" customFormat="1" ht="19.5" customHeight="1" x14ac:dyDescent="0.3">
      <c r="A179" s="118"/>
      <c r="B179" s="31"/>
      <c r="C179" s="31"/>
      <c r="D179" s="6"/>
      <c r="E179" s="6"/>
      <c r="F179" s="6"/>
      <c r="G179" s="118"/>
      <c r="H179" s="118"/>
      <c r="I179" s="118"/>
      <c r="J179" s="118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28"/>
      <c r="Z179" s="4"/>
      <c r="AA179" s="4"/>
      <c r="AB179" s="4"/>
      <c r="AC179" s="4"/>
      <c r="AD179" s="4"/>
      <c r="AE179" s="4"/>
      <c r="AF179" s="4"/>
      <c r="AG179" s="4"/>
      <c r="AH179" s="4"/>
    </row>
    <row r="180" spans="1:34" s="7" customFormat="1" ht="19.5" customHeight="1" x14ac:dyDescent="0.3">
      <c r="A180" s="118"/>
      <c r="B180" s="31"/>
      <c r="C180" s="31"/>
      <c r="D180" s="6"/>
      <c r="E180" s="6"/>
      <c r="F180" s="6"/>
      <c r="G180" s="118"/>
      <c r="H180" s="118"/>
      <c r="I180" s="118"/>
      <c r="J180" s="118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28"/>
      <c r="Z180" s="4"/>
      <c r="AA180" s="4"/>
      <c r="AB180" s="4"/>
      <c r="AC180" s="4"/>
      <c r="AD180" s="4"/>
      <c r="AE180" s="4"/>
      <c r="AF180" s="4"/>
      <c r="AG180" s="4"/>
      <c r="AH180" s="4"/>
    </row>
    <row r="181" spans="1:34" s="7" customFormat="1" ht="19.5" customHeight="1" x14ac:dyDescent="0.3">
      <c r="A181" s="118"/>
      <c r="B181" s="31"/>
      <c r="C181" s="31"/>
      <c r="D181" s="6"/>
      <c r="E181" s="6"/>
      <c r="F181" s="6"/>
      <c r="G181" s="118"/>
      <c r="H181" s="118"/>
      <c r="I181" s="118"/>
      <c r="J181" s="118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28"/>
      <c r="Z181" s="4"/>
      <c r="AA181" s="4"/>
      <c r="AB181" s="4"/>
      <c r="AC181" s="4"/>
      <c r="AD181" s="4"/>
      <c r="AE181" s="4"/>
      <c r="AF181" s="4"/>
      <c r="AG181" s="4"/>
      <c r="AH181" s="4"/>
    </row>
    <row r="182" spans="1:34" s="7" customFormat="1" ht="19.5" customHeight="1" x14ac:dyDescent="0.3">
      <c r="A182" s="118"/>
      <c r="B182" s="31"/>
      <c r="C182" s="31"/>
      <c r="D182" s="6"/>
      <c r="E182" s="6"/>
      <c r="F182" s="6"/>
      <c r="G182" s="118"/>
      <c r="H182" s="118"/>
      <c r="I182" s="118"/>
      <c r="J182" s="118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28"/>
      <c r="Z182" s="4"/>
      <c r="AA182" s="4"/>
      <c r="AB182" s="4"/>
      <c r="AC182" s="4"/>
      <c r="AD182" s="4"/>
      <c r="AE182" s="4"/>
      <c r="AF182" s="4"/>
      <c r="AG182" s="4"/>
      <c r="AH182" s="4"/>
    </row>
    <row r="183" spans="1:34" s="7" customFormat="1" ht="19.5" customHeight="1" x14ac:dyDescent="0.3">
      <c r="A183" s="118"/>
      <c r="B183" s="31"/>
      <c r="C183" s="31"/>
      <c r="D183" s="6"/>
      <c r="E183" s="6"/>
      <c r="F183" s="6"/>
      <c r="G183" s="118"/>
      <c r="H183" s="118"/>
      <c r="I183" s="118"/>
      <c r="J183" s="118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28"/>
      <c r="Z183" s="4"/>
      <c r="AA183" s="4"/>
      <c r="AB183" s="4"/>
      <c r="AC183" s="4"/>
      <c r="AD183" s="4"/>
      <c r="AE183" s="4"/>
      <c r="AF183" s="4"/>
      <c r="AG183" s="4"/>
      <c r="AH183" s="4"/>
    </row>
    <row r="184" spans="1:34" s="7" customFormat="1" ht="19.5" customHeight="1" x14ac:dyDescent="0.3">
      <c r="A184" s="118"/>
      <c r="B184" s="31"/>
      <c r="C184" s="31"/>
      <c r="D184" s="6"/>
      <c r="E184" s="6"/>
      <c r="F184" s="6"/>
      <c r="G184" s="118"/>
      <c r="H184" s="118"/>
      <c r="I184" s="118"/>
      <c r="J184" s="118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28"/>
      <c r="Z184" s="4"/>
      <c r="AA184" s="4"/>
      <c r="AB184" s="4"/>
      <c r="AC184" s="4"/>
      <c r="AD184" s="4"/>
      <c r="AE184" s="4"/>
      <c r="AF184" s="4"/>
      <c r="AG184" s="4"/>
      <c r="AH184" s="4"/>
    </row>
    <row r="185" spans="1:34" s="7" customFormat="1" ht="19.5" customHeight="1" x14ac:dyDescent="0.3">
      <c r="A185" s="118"/>
      <c r="B185" s="31"/>
      <c r="C185" s="31"/>
      <c r="D185" s="6"/>
      <c r="E185" s="6"/>
      <c r="F185" s="6"/>
      <c r="G185" s="118"/>
      <c r="H185" s="118"/>
      <c r="I185" s="118"/>
      <c r="J185" s="118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28"/>
      <c r="Z185" s="4"/>
      <c r="AA185" s="4"/>
      <c r="AB185" s="4"/>
      <c r="AC185" s="4"/>
      <c r="AD185" s="4"/>
      <c r="AE185" s="4"/>
      <c r="AF185" s="4"/>
      <c r="AG185" s="4"/>
      <c r="AH185" s="4"/>
    </row>
    <row r="186" spans="1:34" s="7" customFormat="1" ht="19.5" customHeight="1" x14ac:dyDescent="0.3">
      <c r="A186" s="118"/>
      <c r="B186" s="31"/>
      <c r="C186" s="31"/>
      <c r="D186" s="6"/>
      <c r="E186" s="6"/>
      <c r="F186" s="6"/>
      <c r="G186" s="118"/>
      <c r="H186" s="118"/>
      <c r="I186" s="118"/>
      <c r="J186" s="118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28"/>
      <c r="Z186" s="4"/>
      <c r="AA186" s="4"/>
      <c r="AB186" s="4"/>
      <c r="AC186" s="4"/>
      <c r="AD186" s="4"/>
      <c r="AE186" s="4"/>
      <c r="AF186" s="4"/>
      <c r="AG186" s="4"/>
      <c r="AH186" s="4"/>
    </row>
    <row r="187" spans="1:34" s="7" customFormat="1" ht="19.5" customHeight="1" x14ac:dyDescent="0.3">
      <c r="A187" s="118"/>
      <c r="B187" s="31"/>
      <c r="C187" s="31"/>
      <c r="D187" s="6"/>
      <c r="E187" s="6"/>
      <c r="F187" s="6"/>
      <c r="G187" s="118"/>
      <c r="H187" s="118"/>
      <c r="I187" s="118"/>
      <c r="J187" s="118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28"/>
      <c r="Z187" s="4"/>
      <c r="AA187" s="4"/>
      <c r="AB187" s="4"/>
      <c r="AC187" s="4"/>
      <c r="AD187" s="4"/>
      <c r="AE187" s="4"/>
      <c r="AF187" s="4"/>
      <c r="AG187" s="4"/>
      <c r="AH187" s="4"/>
    </row>
    <row r="188" spans="1:34" s="7" customFormat="1" ht="19.5" customHeight="1" x14ac:dyDescent="0.3">
      <c r="A188" s="118"/>
      <c r="B188" s="31"/>
      <c r="C188" s="31"/>
      <c r="D188" s="6"/>
      <c r="E188" s="6"/>
      <c r="F188" s="6"/>
      <c r="G188" s="118"/>
      <c r="H188" s="118"/>
      <c r="I188" s="118"/>
      <c r="J188" s="118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28"/>
      <c r="Z188" s="4"/>
      <c r="AA188" s="4"/>
      <c r="AB188" s="4"/>
      <c r="AC188" s="4"/>
      <c r="AD188" s="4"/>
      <c r="AE188" s="4"/>
      <c r="AF188" s="4"/>
      <c r="AG188" s="4"/>
      <c r="AH188" s="4"/>
    </row>
    <row r="189" spans="1:34" s="4" customFormat="1" ht="24" customHeight="1" x14ac:dyDescent="0.3">
      <c r="A189" s="118"/>
      <c r="B189" s="31"/>
      <c r="C189" s="31"/>
      <c r="D189" s="6"/>
      <c r="E189" s="6"/>
      <c r="F189" s="6"/>
      <c r="G189" s="118"/>
      <c r="H189" s="118"/>
      <c r="I189" s="118"/>
      <c r="J189" s="118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28"/>
    </row>
    <row r="190" spans="1:34" s="4" customFormat="1" ht="28.5" customHeight="1" x14ac:dyDescent="0.3">
      <c r="A190" s="118"/>
      <c r="B190" s="31"/>
      <c r="C190" s="31"/>
      <c r="D190" s="6"/>
      <c r="E190" s="6"/>
      <c r="F190" s="6"/>
      <c r="G190" s="118"/>
      <c r="H190" s="118"/>
      <c r="I190" s="118"/>
      <c r="J190" s="118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28"/>
    </row>
    <row r="191" spans="1:34" s="4" customFormat="1" ht="22.5" customHeight="1" x14ac:dyDescent="0.3">
      <c r="A191" s="118"/>
      <c r="B191" s="31"/>
      <c r="C191" s="31"/>
      <c r="D191" s="6"/>
      <c r="E191" s="6"/>
      <c r="F191" s="6"/>
      <c r="G191" s="118"/>
      <c r="H191" s="118"/>
      <c r="I191" s="118"/>
      <c r="J191" s="118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28"/>
    </row>
    <row r="192" spans="1:34" s="4" customFormat="1" ht="24" customHeight="1" x14ac:dyDescent="0.3">
      <c r="A192" s="118"/>
      <c r="B192" s="31"/>
      <c r="C192" s="31"/>
      <c r="D192" s="6"/>
      <c r="E192" s="6"/>
      <c r="F192" s="6"/>
      <c r="G192" s="118"/>
      <c r="H192" s="118"/>
      <c r="I192" s="118"/>
      <c r="J192" s="118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28"/>
    </row>
    <row r="193" spans="1:25" s="4" customFormat="1" ht="24" customHeight="1" x14ac:dyDescent="0.3">
      <c r="A193" s="118"/>
      <c r="B193" s="31"/>
      <c r="C193" s="31"/>
      <c r="D193" s="6"/>
      <c r="E193" s="6"/>
      <c r="F193" s="6"/>
      <c r="G193" s="118"/>
      <c r="H193" s="118"/>
      <c r="I193" s="118"/>
      <c r="J193" s="118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28"/>
    </row>
    <row r="194" spans="1:25" s="4" customFormat="1" ht="24" customHeight="1" x14ac:dyDescent="0.3">
      <c r="A194" s="118"/>
      <c r="B194" s="31"/>
      <c r="C194" s="31"/>
      <c r="D194" s="6"/>
      <c r="E194" s="6"/>
      <c r="F194" s="6"/>
      <c r="G194" s="118"/>
      <c r="H194" s="118"/>
      <c r="I194" s="118"/>
      <c r="J194" s="118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28"/>
    </row>
    <row r="195" spans="1:25" s="4" customFormat="1" ht="33" customHeight="1" x14ac:dyDescent="0.3">
      <c r="A195" s="118"/>
      <c r="B195" s="31"/>
      <c r="C195" s="31"/>
      <c r="D195" s="6"/>
      <c r="E195" s="6"/>
      <c r="F195" s="6"/>
      <c r="G195" s="118"/>
      <c r="H195" s="118"/>
      <c r="I195" s="118"/>
      <c r="J195" s="118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28"/>
    </row>
    <row r="196" spans="1:25" s="4" customFormat="1" ht="29.25" customHeight="1" x14ac:dyDescent="0.3">
      <c r="A196" s="118"/>
      <c r="B196" s="31"/>
      <c r="C196" s="31"/>
      <c r="D196" s="6"/>
      <c r="E196" s="6"/>
      <c r="F196" s="6"/>
      <c r="G196" s="118"/>
      <c r="H196" s="118"/>
      <c r="I196" s="118"/>
      <c r="J196" s="118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28"/>
    </row>
    <row r="197" spans="1:25" s="4" customFormat="1" ht="24" customHeight="1" x14ac:dyDescent="0.3">
      <c r="A197" s="118"/>
      <c r="B197" s="31"/>
      <c r="C197" s="31"/>
      <c r="D197" s="6"/>
      <c r="E197" s="6"/>
      <c r="F197" s="6"/>
      <c r="G197" s="118"/>
      <c r="H197" s="118"/>
      <c r="I197" s="118"/>
      <c r="J197" s="118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28"/>
    </row>
    <row r="198" spans="1:25" s="4" customFormat="1" ht="24" customHeight="1" x14ac:dyDescent="0.3">
      <c r="A198" s="118"/>
      <c r="B198" s="31"/>
      <c r="C198" s="31"/>
      <c r="D198" s="6"/>
      <c r="E198" s="6"/>
      <c r="F198" s="6"/>
      <c r="G198" s="118"/>
      <c r="H198" s="118"/>
      <c r="I198" s="118"/>
      <c r="J198" s="118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28"/>
    </row>
    <row r="199" spans="1:25" s="4" customFormat="1" ht="24" customHeight="1" x14ac:dyDescent="0.3">
      <c r="A199" s="118"/>
      <c r="B199" s="31"/>
      <c r="C199" s="31"/>
      <c r="D199" s="6"/>
      <c r="E199" s="6"/>
      <c r="F199" s="6"/>
      <c r="G199" s="118"/>
      <c r="H199" s="118"/>
      <c r="I199" s="118"/>
      <c r="J199" s="118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28"/>
    </row>
    <row r="200" spans="1:25" s="4" customFormat="1" ht="24" customHeight="1" x14ac:dyDescent="0.3">
      <c r="A200" s="118"/>
      <c r="B200" s="31"/>
      <c r="C200" s="31"/>
      <c r="D200" s="6"/>
      <c r="E200" s="6"/>
      <c r="F200" s="6"/>
      <c r="G200" s="118"/>
      <c r="H200" s="118"/>
      <c r="I200" s="118"/>
      <c r="J200" s="118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28"/>
    </row>
    <row r="201" spans="1:25" s="4" customFormat="1" ht="24" customHeight="1" x14ac:dyDescent="0.3">
      <c r="A201" s="118"/>
      <c r="B201" s="31"/>
      <c r="C201" s="31"/>
      <c r="D201" s="6"/>
      <c r="E201" s="6"/>
      <c r="F201" s="6"/>
      <c r="G201" s="118"/>
      <c r="H201" s="118"/>
      <c r="I201" s="118"/>
      <c r="J201" s="118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28"/>
    </row>
    <row r="202" spans="1:25" s="4" customFormat="1" ht="24" customHeight="1" x14ac:dyDescent="0.3">
      <c r="A202" s="118"/>
      <c r="B202" s="31"/>
      <c r="C202" s="31"/>
      <c r="D202" s="6"/>
      <c r="E202" s="6"/>
      <c r="F202" s="6"/>
      <c r="G202" s="118"/>
      <c r="H202" s="118"/>
      <c r="I202" s="118"/>
      <c r="J202" s="118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28"/>
    </row>
    <row r="203" spans="1:25" s="4" customFormat="1" ht="24" customHeight="1" x14ac:dyDescent="0.3">
      <c r="A203" s="118"/>
      <c r="B203" s="31"/>
      <c r="C203" s="31"/>
      <c r="D203" s="6"/>
      <c r="E203" s="6"/>
      <c r="F203" s="6"/>
      <c r="G203" s="118"/>
      <c r="H203" s="118"/>
      <c r="I203" s="118"/>
      <c r="J203" s="118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28"/>
    </row>
    <row r="204" spans="1:25" s="4" customFormat="1" ht="24" customHeight="1" x14ac:dyDescent="0.3">
      <c r="A204" s="118"/>
      <c r="B204" s="31"/>
      <c r="C204" s="31"/>
      <c r="D204" s="6"/>
      <c r="E204" s="6"/>
      <c r="F204" s="6"/>
      <c r="G204" s="118"/>
      <c r="H204" s="118"/>
      <c r="I204" s="118"/>
      <c r="J204" s="118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28"/>
    </row>
    <row r="205" spans="1:25" s="4" customFormat="1" ht="24" customHeight="1" x14ac:dyDescent="0.3">
      <c r="A205" s="118"/>
      <c r="B205" s="31"/>
      <c r="C205" s="31"/>
      <c r="D205" s="6"/>
      <c r="E205" s="6"/>
      <c r="F205" s="6"/>
      <c r="G205" s="118"/>
      <c r="H205" s="118"/>
      <c r="I205" s="118"/>
      <c r="J205" s="118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28"/>
    </row>
    <row r="206" spans="1:25" s="4" customFormat="1" ht="24" customHeight="1" x14ac:dyDescent="0.3">
      <c r="A206" s="118"/>
      <c r="B206" s="31"/>
      <c r="C206" s="31"/>
      <c r="D206" s="6"/>
      <c r="E206" s="6"/>
      <c r="F206" s="6"/>
      <c r="G206" s="118"/>
      <c r="H206" s="118"/>
      <c r="I206" s="118"/>
      <c r="J206" s="118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28"/>
    </row>
    <row r="207" spans="1:25" s="4" customFormat="1" ht="24" customHeight="1" x14ac:dyDescent="0.3">
      <c r="A207" s="118"/>
      <c r="B207" s="31"/>
      <c r="C207" s="31"/>
      <c r="D207" s="6"/>
      <c r="E207" s="6"/>
      <c r="F207" s="6"/>
      <c r="G207" s="118"/>
      <c r="H207" s="118"/>
      <c r="I207" s="118"/>
      <c r="J207" s="118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28"/>
    </row>
    <row r="208" spans="1:25" s="4" customFormat="1" ht="24" customHeight="1" x14ac:dyDescent="0.3">
      <c r="A208" s="118"/>
      <c r="B208" s="31"/>
      <c r="C208" s="31"/>
      <c r="D208" s="6"/>
      <c r="E208" s="6"/>
      <c r="F208" s="6"/>
      <c r="G208" s="118"/>
      <c r="H208" s="118"/>
      <c r="I208" s="118"/>
      <c r="J208" s="118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28"/>
    </row>
    <row r="209" spans="1:34" s="4" customFormat="1" ht="24" customHeight="1" x14ac:dyDescent="0.3">
      <c r="A209" s="118"/>
      <c r="B209" s="31"/>
      <c r="C209" s="31"/>
      <c r="D209" s="6"/>
      <c r="E209" s="6"/>
      <c r="F209" s="6"/>
      <c r="G209" s="118"/>
      <c r="H209" s="118"/>
      <c r="I209" s="118"/>
      <c r="J209" s="118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28"/>
    </row>
    <row r="210" spans="1:34" s="4" customFormat="1" ht="28.5" customHeight="1" x14ac:dyDescent="0.3">
      <c r="A210" s="118"/>
      <c r="B210" s="31"/>
      <c r="C210" s="31"/>
      <c r="D210" s="6"/>
      <c r="E210" s="6"/>
      <c r="F210" s="6"/>
      <c r="G210" s="118"/>
      <c r="H210" s="118"/>
      <c r="I210" s="118"/>
      <c r="J210" s="118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28"/>
    </row>
    <row r="211" spans="1:34" s="4" customFormat="1" ht="21.75" customHeight="1" x14ac:dyDescent="0.3">
      <c r="A211" s="118"/>
      <c r="B211" s="31"/>
      <c r="C211" s="31"/>
      <c r="D211" s="6"/>
      <c r="E211" s="6"/>
      <c r="F211" s="6"/>
      <c r="G211" s="118"/>
      <c r="H211" s="118"/>
      <c r="I211" s="118"/>
      <c r="J211" s="118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28"/>
    </row>
    <row r="212" spans="1:34" s="7" customFormat="1" ht="21.75" customHeight="1" x14ac:dyDescent="0.3">
      <c r="A212" s="118"/>
      <c r="B212" s="31"/>
      <c r="C212" s="31"/>
      <c r="D212" s="6"/>
      <c r="E212" s="6"/>
      <c r="F212" s="6"/>
      <c r="G212" s="118"/>
      <c r="H212" s="118"/>
      <c r="I212" s="118"/>
      <c r="J212" s="118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28"/>
      <c r="Z212" s="4"/>
      <c r="AA212" s="4"/>
      <c r="AB212" s="4"/>
      <c r="AC212" s="4"/>
      <c r="AD212" s="4"/>
      <c r="AE212" s="4"/>
      <c r="AF212" s="4"/>
      <c r="AG212" s="4"/>
      <c r="AH212" s="4"/>
    </row>
    <row r="213" spans="1:34" s="7" customFormat="1" ht="21.75" customHeight="1" x14ac:dyDescent="0.3">
      <c r="A213" s="118"/>
      <c r="B213" s="31"/>
      <c r="C213" s="31"/>
      <c r="D213" s="6"/>
      <c r="E213" s="6"/>
      <c r="F213" s="6"/>
      <c r="G213" s="118"/>
      <c r="H213" s="118"/>
      <c r="I213" s="118"/>
      <c r="J213" s="118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28"/>
      <c r="Z213" s="4"/>
      <c r="AA213" s="4"/>
      <c r="AB213" s="4"/>
      <c r="AC213" s="4"/>
      <c r="AD213" s="4"/>
      <c r="AE213" s="4"/>
      <c r="AF213" s="4"/>
      <c r="AG213" s="4"/>
      <c r="AH213" s="4"/>
    </row>
    <row r="214" spans="1:34" s="7" customFormat="1" ht="21.75" customHeight="1" x14ac:dyDescent="0.3">
      <c r="A214" s="118"/>
      <c r="B214" s="31"/>
      <c r="C214" s="31"/>
      <c r="D214" s="6"/>
      <c r="E214" s="6"/>
      <c r="F214" s="6"/>
      <c r="G214" s="118"/>
      <c r="H214" s="118"/>
      <c r="I214" s="118"/>
      <c r="J214" s="118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28"/>
      <c r="Z214" s="4"/>
      <c r="AA214" s="4"/>
      <c r="AB214" s="4"/>
      <c r="AC214" s="4"/>
      <c r="AD214" s="4"/>
      <c r="AE214" s="4"/>
      <c r="AF214" s="4"/>
      <c r="AG214" s="4"/>
      <c r="AH214" s="4"/>
    </row>
    <row r="215" spans="1:34" s="7" customFormat="1" ht="23.25" customHeight="1" x14ac:dyDescent="0.3">
      <c r="A215" s="118"/>
      <c r="B215" s="31"/>
      <c r="C215" s="31"/>
      <c r="D215" s="6"/>
      <c r="E215" s="6"/>
      <c r="F215" s="6"/>
      <c r="G215" s="118"/>
      <c r="H215" s="118"/>
      <c r="I215" s="118"/>
      <c r="J215" s="118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28"/>
      <c r="Z215" s="4"/>
      <c r="AA215" s="4"/>
      <c r="AB215" s="4"/>
      <c r="AC215" s="4"/>
      <c r="AD215" s="4"/>
      <c r="AE215" s="4"/>
      <c r="AF215" s="4"/>
      <c r="AG215" s="4"/>
      <c r="AH215" s="4"/>
    </row>
    <row r="216" spans="1:34" s="7" customFormat="1" ht="23.25" customHeight="1" x14ac:dyDescent="0.3">
      <c r="A216" s="118"/>
      <c r="B216" s="31"/>
      <c r="C216" s="31"/>
      <c r="D216" s="6"/>
      <c r="E216" s="6"/>
      <c r="F216" s="6"/>
      <c r="G216" s="118"/>
      <c r="H216" s="118"/>
      <c r="I216" s="118"/>
      <c r="J216" s="118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28"/>
      <c r="Z216" s="4"/>
      <c r="AA216" s="4"/>
      <c r="AB216" s="4"/>
      <c r="AC216" s="4"/>
      <c r="AD216" s="4"/>
      <c r="AE216" s="4"/>
      <c r="AF216" s="4"/>
      <c r="AG216" s="4"/>
      <c r="AH216" s="4"/>
    </row>
    <row r="217" spans="1:34" s="7" customFormat="1" ht="23.25" customHeight="1" x14ac:dyDescent="0.3">
      <c r="A217" s="118"/>
      <c r="B217" s="31"/>
      <c r="C217" s="31"/>
      <c r="D217" s="6"/>
      <c r="E217" s="6"/>
      <c r="F217" s="6"/>
      <c r="G217" s="118"/>
      <c r="H217" s="118"/>
      <c r="I217" s="118"/>
      <c r="J217" s="118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28"/>
      <c r="Z217" s="4"/>
      <c r="AA217" s="4"/>
      <c r="AB217" s="4"/>
      <c r="AC217" s="4"/>
      <c r="AD217" s="4"/>
      <c r="AE217" s="4"/>
      <c r="AF217" s="4"/>
      <c r="AG217" s="4"/>
      <c r="AH217" s="4"/>
    </row>
    <row r="218" spans="1:34" s="7" customFormat="1" ht="23.25" customHeight="1" x14ac:dyDescent="0.3">
      <c r="A218" s="118"/>
      <c r="B218" s="31"/>
      <c r="C218" s="31"/>
      <c r="D218" s="6"/>
      <c r="E218" s="6"/>
      <c r="F218" s="6"/>
      <c r="G218" s="118"/>
      <c r="H218" s="118"/>
      <c r="I218" s="118"/>
      <c r="J218" s="118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28"/>
      <c r="Z218" s="4"/>
      <c r="AA218" s="4"/>
      <c r="AB218" s="4"/>
      <c r="AC218" s="4"/>
      <c r="AD218" s="4"/>
      <c r="AE218" s="4"/>
      <c r="AF218" s="4"/>
      <c r="AG218" s="4"/>
      <c r="AH218" s="4"/>
    </row>
    <row r="219" spans="1:34" s="7" customFormat="1" ht="23.25" customHeight="1" x14ac:dyDescent="0.3">
      <c r="A219" s="118"/>
      <c r="B219" s="31"/>
      <c r="C219" s="31"/>
      <c r="D219" s="6"/>
      <c r="E219" s="6"/>
      <c r="F219" s="6"/>
      <c r="G219" s="118"/>
      <c r="H219" s="118"/>
      <c r="I219" s="118"/>
      <c r="J219" s="118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28"/>
      <c r="Z219" s="4"/>
      <c r="AA219" s="4"/>
      <c r="AB219" s="4"/>
      <c r="AC219" s="4"/>
      <c r="AD219" s="4"/>
      <c r="AE219" s="4"/>
      <c r="AF219" s="4"/>
      <c r="AG219" s="4"/>
      <c r="AH219" s="4"/>
    </row>
    <row r="220" spans="1:34" s="7" customFormat="1" ht="23.25" customHeight="1" x14ac:dyDescent="0.3">
      <c r="A220" s="118"/>
      <c r="B220" s="31"/>
      <c r="C220" s="31"/>
      <c r="D220" s="6"/>
      <c r="E220" s="6"/>
      <c r="F220" s="6"/>
      <c r="G220" s="118"/>
      <c r="H220" s="118"/>
      <c r="I220" s="118"/>
      <c r="J220" s="118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28"/>
      <c r="Z220" s="4"/>
      <c r="AA220" s="4"/>
      <c r="AB220" s="4"/>
      <c r="AC220" s="4"/>
      <c r="AD220" s="4"/>
      <c r="AE220" s="4"/>
      <c r="AF220" s="4"/>
      <c r="AG220" s="4"/>
      <c r="AH220" s="4"/>
    </row>
    <row r="221" spans="1:34" s="7" customFormat="1" ht="23.25" customHeight="1" x14ac:dyDescent="0.3">
      <c r="A221" s="118"/>
      <c r="B221" s="31"/>
      <c r="C221" s="31"/>
      <c r="D221" s="6"/>
      <c r="E221" s="6"/>
      <c r="F221" s="6"/>
      <c r="G221" s="118"/>
      <c r="H221" s="118"/>
      <c r="I221" s="118"/>
      <c r="J221" s="118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28"/>
      <c r="Z221" s="4"/>
      <c r="AA221" s="4"/>
      <c r="AB221" s="4"/>
      <c r="AC221" s="4"/>
      <c r="AD221" s="4"/>
      <c r="AE221" s="4"/>
      <c r="AF221" s="4"/>
      <c r="AG221" s="4"/>
      <c r="AH221" s="4"/>
    </row>
    <row r="222" spans="1:34" s="7" customFormat="1" ht="23.25" customHeight="1" x14ac:dyDescent="0.3">
      <c r="A222" s="118"/>
      <c r="B222" s="31"/>
      <c r="C222" s="31"/>
      <c r="D222" s="6"/>
      <c r="E222" s="6"/>
      <c r="F222" s="6"/>
      <c r="G222" s="118"/>
      <c r="H222" s="118"/>
      <c r="I222" s="118"/>
      <c r="J222" s="118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28"/>
      <c r="Z222" s="4"/>
      <c r="AA222" s="4"/>
      <c r="AB222" s="4"/>
      <c r="AC222" s="4"/>
      <c r="AD222" s="4"/>
      <c r="AE222" s="4"/>
      <c r="AF222" s="4"/>
      <c r="AG222" s="4"/>
      <c r="AH222" s="4"/>
    </row>
    <row r="223" spans="1:34" s="1" customFormat="1" ht="24.75" customHeight="1" x14ac:dyDescent="0.3">
      <c r="A223" s="118"/>
      <c r="B223" s="31"/>
      <c r="C223" s="31"/>
      <c r="D223" s="6"/>
      <c r="E223" s="6"/>
      <c r="F223" s="6"/>
      <c r="G223" s="118"/>
      <c r="H223" s="118"/>
      <c r="I223" s="118"/>
      <c r="J223" s="118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28"/>
    </row>
    <row r="224" spans="1:34" s="4" customFormat="1" ht="24" customHeight="1" x14ac:dyDescent="0.3">
      <c r="A224" s="118"/>
      <c r="B224" s="31"/>
      <c r="C224" s="31"/>
      <c r="D224" s="6"/>
      <c r="E224" s="6"/>
      <c r="F224" s="6"/>
      <c r="G224" s="118"/>
      <c r="H224" s="118"/>
      <c r="I224" s="118"/>
      <c r="J224" s="118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28"/>
    </row>
    <row r="225" spans="1:34" s="4" customFormat="1" ht="24" customHeight="1" x14ac:dyDescent="0.3">
      <c r="A225" s="118"/>
      <c r="B225" s="31"/>
      <c r="C225" s="31"/>
      <c r="D225" s="6"/>
      <c r="E225" s="6"/>
      <c r="F225" s="6"/>
      <c r="G225" s="118"/>
      <c r="H225" s="118"/>
      <c r="I225" s="118"/>
      <c r="J225" s="118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28"/>
    </row>
    <row r="226" spans="1:34" s="4" customFormat="1" ht="24" customHeight="1" x14ac:dyDescent="0.3">
      <c r="A226" s="118"/>
      <c r="B226" s="31"/>
      <c r="C226" s="31"/>
      <c r="D226" s="6"/>
      <c r="E226" s="6"/>
      <c r="F226" s="6"/>
      <c r="G226" s="118"/>
      <c r="H226" s="118"/>
      <c r="I226" s="118"/>
      <c r="J226" s="118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28"/>
    </row>
    <row r="227" spans="1:34" s="4" customFormat="1" ht="24" customHeight="1" x14ac:dyDescent="0.3">
      <c r="A227" s="118"/>
      <c r="B227" s="31"/>
      <c r="C227" s="31"/>
      <c r="D227" s="6"/>
      <c r="E227" s="6"/>
      <c r="F227" s="6"/>
      <c r="G227" s="118"/>
      <c r="H227" s="118"/>
      <c r="I227" s="118"/>
      <c r="J227" s="118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28"/>
    </row>
    <row r="228" spans="1:34" s="7" customFormat="1" ht="23.25" customHeight="1" x14ac:dyDescent="0.3">
      <c r="A228" s="118"/>
      <c r="B228" s="31"/>
      <c r="C228" s="31"/>
      <c r="D228" s="6"/>
      <c r="E228" s="6"/>
      <c r="F228" s="6"/>
      <c r="G228" s="118"/>
      <c r="H228" s="118"/>
      <c r="I228" s="118"/>
      <c r="J228" s="118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28"/>
      <c r="Z228" s="4"/>
      <c r="AA228" s="4"/>
      <c r="AB228" s="4"/>
      <c r="AC228" s="4"/>
      <c r="AD228" s="4"/>
      <c r="AE228" s="4"/>
      <c r="AF228" s="4"/>
      <c r="AG228" s="4"/>
      <c r="AH228" s="4"/>
    </row>
    <row r="229" spans="1:34" s="7" customFormat="1" ht="27.75" customHeight="1" x14ac:dyDescent="0.3">
      <c r="A229" s="118"/>
      <c r="B229" s="31"/>
      <c r="C229" s="31"/>
      <c r="D229" s="6"/>
      <c r="E229" s="6"/>
      <c r="F229" s="6"/>
      <c r="G229" s="118"/>
      <c r="H229" s="118"/>
      <c r="I229" s="118"/>
      <c r="J229" s="118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28"/>
      <c r="Z229" s="4"/>
      <c r="AA229" s="4"/>
      <c r="AB229" s="4"/>
      <c r="AC229" s="4"/>
      <c r="AD229" s="4"/>
      <c r="AE229" s="4"/>
      <c r="AF229" s="4"/>
      <c r="AG229" s="4"/>
      <c r="AH229" s="4"/>
    </row>
    <row r="230" spans="1:34" s="7" customFormat="1" ht="23.25" customHeight="1" x14ac:dyDescent="0.3">
      <c r="A230" s="118"/>
      <c r="B230" s="31"/>
      <c r="C230" s="31"/>
      <c r="D230" s="6"/>
      <c r="E230" s="6"/>
      <c r="F230" s="6"/>
      <c r="G230" s="118"/>
      <c r="H230" s="118"/>
      <c r="I230" s="118"/>
      <c r="J230" s="118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28"/>
      <c r="Z230" s="4"/>
      <c r="AA230" s="4"/>
      <c r="AB230" s="4"/>
      <c r="AC230" s="4"/>
      <c r="AD230" s="4"/>
      <c r="AE230" s="4"/>
      <c r="AF230" s="4"/>
      <c r="AG230" s="4"/>
      <c r="AH230" s="4"/>
    </row>
    <row r="231" spans="1:34" s="7" customFormat="1" ht="18.75" customHeight="1" x14ac:dyDescent="0.3">
      <c r="A231" s="118"/>
      <c r="B231" s="31"/>
      <c r="C231" s="31"/>
      <c r="D231" s="6"/>
      <c r="E231" s="6"/>
      <c r="F231" s="6"/>
      <c r="G231" s="118"/>
      <c r="H231" s="118"/>
      <c r="I231" s="118"/>
      <c r="J231" s="118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28"/>
      <c r="Z231" s="4"/>
      <c r="AA231" s="4"/>
      <c r="AB231" s="4"/>
      <c r="AC231" s="4"/>
      <c r="AD231" s="4"/>
      <c r="AE231" s="4"/>
      <c r="AF231" s="4"/>
      <c r="AG231" s="4"/>
      <c r="AH231" s="4"/>
    </row>
    <row r="232" spans="1:34" s="7" customFormat="1" ht="18.75" customHeight="1" x14ac:dyDescent="0.3">
      <c r="A232" s="118"/>
      <c r="B232" s="31"/>
      <c r="C232" s="31"/>
      <c r="D232" s="6"/>
      <c r="E232" s="6"/>
      <c r="F232" s="6"/>
      <c r="G232" s="118"/>
      <c r="H232" s="118"/>
      <c r="I232" s="118"/>
      <c r="J232" s="118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28"/>
      <c r="Z232" s="4"/>
      <c r="AA232" s="4"/>
      <c r="AB232" s="4"/>
      <c r="AC232" s="4"/>
      <c r="AD232" s="4"/>
      <c r="AE232" s="4"/>
      <c r="AF232" s="4"/>
      <c r="AG232" s="4"/>
      <c r="AH232" s="4"/>
    </row>
    <row r="233" spans="1:34" s="7" customFormat="1" ht="18.75" customHeight="1" x14ac:dyDescent="0.3">
      <c r="A233" s="118"/>
      <c r="B233" s="31"/>
      <c r="C233" s="31"/>
      <c r="D233" s="6"/>
      <c r="E233" s="6"/>
      <c r="F233" s="6"/>
      <c r="G233" s="118"/>
      <c r="H233" s="118"/>
      <c r="I233" s="118"/>
      <c r="J233" s="118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28"/>
      <c r="Z233" s="4"/>
      <c r="AA233" s="4"/>
      <c r="AB233" s="4"/>
      <c r="AC233" s="4"/>
      <c r="AD233" s="4"/>
      <c r="AE233" s="4"/>
      <c r="AF233" s="4"/>
      <c r="AG233" s="4"/>
      <c r="AH233" s="4"/>
    </row>
    <row r="234" spans="1:34" s="7" customFormat="1" ht="18.75" customHeight="1" x14ac:dyDescent="0.3">
      <c r="A234" s="118"/>
      <c r="B234" s="31"/>
      <c r="C234" s="31"/>
      <c r="D234" s="6"/>
      <c r="E234" s="6"/>
      <c r="F234" s="6"/>
      <c r="G234" s="118"/>
      <c r="H234" s="118"/>
      <c r="I234" s="118"/>
      <c r="J234" s="118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28"/>
      <c r="Z234" s="4"/>
      <c r="AA234" s="4"/>
      <c r="AB234" s="4"/>
      <c r="AC234" s="4"/>
      <c r="AD234" s="4"/>
      <c r="AE234" s="4"/>
      <c r="AF234" s="4"/>
      <c r="AG234" s="4"/>
      <c r="AH234" s="4"/>
    </row>
    <row r="235" spans="1:34" s="7" customFormat="1" ht="25.5" customHeight="1" x14ac:dyDescent="0.3">
      <c r="A235" s="118"/>
      <c r="B235" s="31"/>
      <c r="C235" s="31"/>
      <c r="D235" s="6"/>
      <c r="E235" s="6"/>
      <c r="F235" s="6"/>
      <c r="G235" s="118"/>
      <c r="H235" s="118"/>
      <c r="I235" s="118"/>
      <c r="J235" s="118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28"/>
      <c r="Z235" s="4"/>
      <c r="AA235" s="4"/>
      <c r="AB235" s="4"/>
      <c r="AC235" s="4"/>
      <c r="AD235" s="4"/>
      <c r="AE235" s="4"/>
      <c r="AF235" s="4"/>
      <c r="AG235" s="4"/>
      <c r="AH235" s="4"/>
    </row>
    <row r="236" spans="1:34" s="7" customFormat="1" ht="22.5" customHeight="1" x14ac:dyDescent="0.3">
      <c r="A236" s="118"/>
      <c r="B236" s="31"/>
      <c r="C236" s="31"/>
      <c r="D236" s="6"/>
      <c r="E236" s="6"/>
      <c r="F236" s="6"/>
      <c r="G236" s="118"/>
      <c r="H236" s="118"/>
      <c r="I236" s="118"/>
      <c r="J236" s="118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28"/>
      <c r="Z236" s="4"/>
      <c r="AA236" s="4"/>
      <c r="AB236" s="4"/>
      <c r="AC236" s="4"/>
      <c r="AD236" s="4"/>
      <c r="AE236" s="4"/>
      <c r="AF236" s="4"/>
      <c r="AG236" s="4"/>
      <c r="AH236" s="4"/>
    </row>
    <row r="237" spans="1:34" s="7" customFormat="1" ht="21" customHeight="1" x14ac:dyDescent="0.3">
      <c r="A237" s="118"/>
      <c r="B237" s="31"/>
      <c r="C237" s="31"/>
      <c r="D237" s="6"/>
      <c r="E237" s="6"/>
      <c r="F237" s="6"/>
      <c r="G237" s="118"/>
      <c r="H237" s="118"/>
      <c r="I237" s="118"/>
      <c r="J237" s="118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28"/>
      <c r="Z237" s="4"/>
      <c r="AA237" s="4"/>
      <c r="AB237" s="4"/>
      <c r="AC237" s="4"/>
      <c r="AD237" s="4"/>
      <c r="AE237" s="4"/>
      <c r="AF237" s="4"/>
      <c r="AG237" s="4"/>
      <c r="AH237" s="4"/>
    </row>
    <row r="238" spans="1:34" s="7" customFormat="1" ht="33" customHeight="1" x14ac:dyDescent="0.3">
      <c r="A238" s="118"/>
      <c r="B238" s="31"/>
      <c r="C238" s="31"/>
      <c r="D238" s="6"/>
      <c r="E238" s="6"/>
      <c r="F238" s="6"/>
      <c r="G238" s="118"/>
      <c r="H238" s="118"/>
      <c r="I238" s="118"/>
      <c r="J238" s="118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28"/>
      <c r="Z238" s="4"/>
      <c r="AA238" s="4"/>
      <c r="AB238" s="4"/>
      <c r="AC238" s="4"/>
      <c r="AD238" s="4"/>
      <c r="AE238" s="4"/>
      <c r="AF238" s="4"/>
      <c r="AG238" s="4"/>
      <c r="AH238" s="4"/>
    </row>
    <row r="239" spans="1:34" s="7" customFormat="1" ht="62.25" customHeight="1" x14ac:dyDescent="0.3">
      <c r="A239" s="118"/>
      <c r="B239" s="31"/>
      <c r="C239" s="31"/>
      <c r="D239" s="6"/>
      <c r="E239" s="6"/>
      <c r="F239" s="6"/>
      <c r="G239" s="118"/>
      <c r="H239" s="118"/>
      <c r="I239" s="118"/>
      <c r="J239" s="118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28"/>
      <c r="Z239" s="4"/>
      <c r="AA239" s="4"/>
      <c r="AB239" s="4"/>
      <c r="AC239" s="4"/>
      <c r="AD239" s="4"/>
      <c r="AE239" s="4"/>
      <c r="AF239" s="4"/>
      <c r="AG239" s="4"/>
      <c r="AH239" s="4"/>
    </row>
    <row r="240" spans="1:34" ht="20.25" customHeight="1" x14ac:dyDescent="0.3">
      <c r="A240" s="118"/>
      <c r="B240" s="31"/>
      <c r="C240" s="31"/>
      <c r="D240" s="6"/>
      <c r="E240" s="6"/>
      <c r="F240" s="6"/>
      <c r="G240" s="118"/>
      <c r="H240" s="118"/>
      <c r="I240" s="118"/>
      <c r="J240" s="118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28"/>
      <c r="Z240" s="5"/>
      <c r="AA240" s="5"/>
      <c r="AB240" s="5"/>
      <c r="AC240" s="5"/>
      <c r="AD240" s="5"/>
      <c r="AE240" s="5"/>
      <c r="AF240" s="5"/>
      <c r="AG240" s="5"/>
      <c r="AH240" s="5"/>
    </row>
    <row r="241" spans="1:34" ht="20.25" customHeight="1" x14ac:dyDescent="0.3">
      <c r="A241" s="118"/>
      <c r="B241" s="31"/>
      <c r="C241" s="31"/>
      <c r="D241" s="6"/>
      <c r="E241" s="6"/>
      <c r="F241" s="6"/>
      <c r="G241" s="118"/>
      <c r="H241" s="118"/>
      <c r="I241" s="118"/>
      <c r="J241" s="118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28"/>
      <c r="Z241" s="5"/>
      <c r="AA241" s="5"/>
      <c r="AB241" s="5"/>
      <c r="AC241" s="5"/>
      <c r="AD241" s="5"/>
      <c r="AE241" s="5"/>
      <c r="AF241" s="5"/>
      <c r="AG241" s="5"/>
      <c r="AH241" s="5"/>
    </row>
    <row r="242" spans="1:34" ht="20.25" customHeight="1" x14ac:dyDescent="0.3">
      <c r="A242" s="118"/>
      <c r="B242" s="31"/>
      <c r="C242" s="31"/>
      <c r="D242" s="6"/>
      <c r="E242" s="6"/>
      <c r="F242" s="6"/>
      <c r="G242" s="118"/>
      <c r="H242" s="118"/>
      <c r="I242" s="118"/>
      <c r="J242" s="118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28"/>
      <c r="Z242" s="5"/>
      <c r="AA242" s="5"/>
      <c r="AB242" s="5"/>
      <c r="AC242" s="5"/>
      <c r="AD242" s="5"/>
      <c r="AE242" s="5"/>
      <c r="AF242" s="5"/>
      <c r="AG242" s="5"/>
      <c r="AH242" s="5"/>
    </row>
    <row r="243" spans="1:34" ht="24" customHeight="1" x14ac:dyDescent="0.3">
      <c r="A243" s="118"/>
      <c r="B243" s="31"/>
      <c r="C243" s="31"/>
      <c r="D243" s="6"/>
      <c r="E243" s="6"/>
      <c r="F243" s="6"/>
      <c r="G243" s="118"/>
      <c r="H243" s="118"/>
      <c r="I243" s="118"/>
      <c r="J243" s="118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28"/>
      <c r="Z243" s="5"/>
      <c r="AA243" s="5"/>
      <c r="AB243" s="5"/>
      <c r="AC243" s="5"/>
      <c r="AD243" s="5"/>
      <c r="AE243" s="5"/>
      <c r="AF243" s="5"/>
      <c r="AG243" s="5"/>
      <c r="AH243" s="5"/>
    </row>
    <row r="244" spans="1:34" ht="24" customHeight="1" x14ac:dyDescent="0.3">
      <c r="A244" s="118"/>
      <c r="B244" s="31"/>
      <c r="C244" s="31"/>
      <c r="D244" s="6"/>
      <c r="E244" s="6"/>
      <c r="F244" s="6"/>
      <c r="G244" s="118"/>
      <c r="H244" s="118"/>
      <c r="I244" s="118"/>
      <c r="J244" s="118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28"/>
      <c r="Z244" s="5"/>
      <c r="AA244" s="5"/>
      <c r="AB244" s="5"/>
      <c r="AC244" s="5"/>
      <c r="AD244" s="5"/>
      <c r="AE244" s="5"/>
      <c r="AF244" s="5"/>
      <c r="AG244" s="5"/>
      <c r="AH244" s="5"/>
    </row>
    <row r="245" spans="1:34" ht="24" customHeight="1" x14ac:dyDescent="0.3">
      <c r="A245" s="118"/>
      <c r="B245" s="31"/>
      <c r="C245" s="31"/>
      <c r="D245" s="6"/>
      <c r="E245" s="6"/>
      <c r="F245" s="6"/>
      <c r="G245" s="118"/>
      <c r="H245" s="118"/>
      <c r="I245" s="118"/>
      <c r="J245" s="118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28"/>
      <c r="Z245" s="5"/>
      <c r="AA245" s="5"/>
      <c r="AB245" s="5"/>
      <c r="AC245" s="5"/>
      <c r="AD245" s="5"/>
      <c r="AE245" s="5"/>
      <c r="AF245" s="5"/>
      <c r="AG245" s="5"/>
      <c r="AH245" s="5"/>
    </row>
    <row r="246" spans="1:34" ht="23.25" customHeight="1" x14ac:dyDescent="0.3">
      <c r="A246" s="118"/>
      <c r="B246" s="31"/>
      <c r="C246" s="31"/>
      <c r="D246" s="6"/>
      <c r="E246" s="6"/>
      <c r="F246" s="6"/>
      <c r="G246" s="118"/>
      <c r="H246" s="118"/>
      <c r="I246" s="118"/>
      <c r="J246" s="118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28"/>
      <c r="Z246" s="5"/>
      <c r="AA246" s="5"/>
      <c r="AB246" s="5"/>
      <c r="AC246" s="5"/>
      <c r="AD246" s="5"/>
      <c r="AE246" s="5"/>
      <c r="AF246" s="5"/>
      <c r="AG246" s="5"/>
      <c r="AH246" s="5"/>
    </row>
    <row r="247" spans="1:34" ht="23.25" customHeight="1" x14ac:dyDescent="0.3">
      <c r="A247" s="118"/>
      <c r="B247" s="31"/>
      <c r="C247" s="31"/>
      <c r="D247" s="6"/>
      <c r="E247" s="6"/>
      <c r="F247" s="6"/>
      <c r="G247" s="118"/>
      <c r="H247" s="118"/>
      <c r="I247" s="118"/>
      <c r="J247" s="118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28"/>
      <c r="Z247" s="5"/>
      <c r="AA247" s="5"/>
      <c r="AB247" s="5"/>
      <c r="AC247" s="5"/>
      <c r="AD247" s="5"/>
      <c r="AE247" s="5"/>
      <c r="AF247" s="5"/>
      <c r="AG247" s="5"/>
      <c r="AH247" s="5"/>
    </row>
    <row r="248" spans="1:34" ht="23.25" customHeight="1" x14ac:dyDescent="0.3">
      <c r="A248" s="118"/>
      <c r="B248" s="31"/>
      <c r="C248" s="31"/>
      <c r="D248" s="6"/>
      <c r="E248" s="6"/>
      <c r="F248" s="6"/>
      <c r="G248" s="118"/>
      <c r="H248" s="118"/>
      <c r="I248" s="118"/>
      <c r="J248" s="118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28"/>
      <c r="Z248" s="5"/>
      <c r="AA248" s="5"/>
      <c r="AB248" s="5"/>
      <c r="AC248" s="5"/>
      <c r="AD248" s="5"/>
      <c r="AE248" s="5"/>
      <c r="AF248" s="5"/>
      <c r="AG248" s="5"/>
      <c r="AH248" s="5"/>
    </row>
    <row r="249" spans="1:34" ht="23.25" customHeight="1" x14ac:dyDescent="0.3">
      <c r="A249" s="118"/>
      <c r="B249" s="31"/>
      <c r="C249" s="31"/>
      <c r="D249" s="6"/>
      <c r="E249" s="6"/>
      <c r="F249" s="6"/>
      <c r="G249" s="118"/>
      <c r="H249" s="118"/>
      <c r="I249" s="118"/>
      <c r="J249" s="118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28"/>
      <c r="Z249" s="5"/>
      <c r="AA249" s="5"/>
      <c r="AB249" s="5"/>
      <c r="AC249" s="5"/>
      <c r="AD249" s="5"/>
      <c r="AE249" s="5"/>
      <c r="AF249" s="5"/>
      <c r="AG249" s="5"/>
      <c r="AH249" s="5"/>
    </row>
    <row r="250" spans="1:34" ht="23.25" customHeight="1" x14ac:dyDescent="0.3">
      <c r="A250" s="118"/>
      <c r="B250" s="31"/>
      <c r="C250" s="31"/>
      <c r="D250" s="6"/>
      <c r="E250" s="6"/>
      <c r="F250" s="6"/>
      <c r="G250" s="118"/>
      <c r="H250" s="118"/>
      <c r="I250" s="118"/>
      <c r="J250" s="118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28"/>
      <c r="Z250" s="5"/>
      <c r="AA250" s="5"/>
      <c r="AB250" s="5"/>
      <c r="AC250" s="5"/>
      <c r="AD250" s="5"/>
      <c r="AE250" s="5"/>
      <c r="AF250" s="5"/>
      <c r="AG250" s="5"/>
      <c r="AH250" s="5"/>
    </row>
    <row r="251" spans="1:34" s="7" customFormat="1" ht="36" customHeight="1" x14ac:dyDescent="0.3">
      <c r="A251" s="118"/>
      <c r="B251" s="31"/>
      <c r="C251" s="31"/>
      <c r="D251" s="6"/>
      <c r="E251" s="6"/>
      <c r="F251" s="6"/>
      <c r="G251" s="118"/>
      <c r="H251" s="118"/>
      <c r="I251" s="118"/>
      <c r="J251" s="118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28"/>
      <c r="Z251" s="4"/>
      <c r="AA251" s="4"/>
      <c r="AB251" s="4"/>
      <c r="AC251" s="4"/>
      <c r="AD251" s="4"/>
      <c r="AE251" s="4"/>
      <c r="AF251" s="4"/>
      <c r="AG251" s="4"/>
      <c r="AH251" s="4"/>
    </row>
    <row r="252" spans="1:34" s="7" customFormat="1" ht="18.75" customHeight="1" x14ac:dyDescent="0.3">
      <c r="A252" s="118"/>
      <c r="B252" s="31"/>
      <c r="C252" s="31"/>
      <c r="D252" s="6"/>
      <c r="E252" s="6"/>
      <c r="F252" s="6"/>
      <c r="G252" s="118"/>
      <c r="H252" s="118"/>
      <c r="I252" s="118"/>
      <c r="J252" s="118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28"/>
      <c r="Z252" s="4"/>
      <c r="AA252" s="4"/>
      <c r="AB252" s="4"/>
      <c r="AC252" s="4"/>
      <c r="AD252" s="4"/>
      <c r="AE252" s="4"/>
      <c r="AF252" s="4"/>
      <c r="AG252" s="4"/>
      <c r="AH252" s="4"/>
    </row>
    <row r="253" spans="1:34" s="7" customFormat="1" ht="18.75" customHeight="1" x14ac:dyDescent="0.3">
      <c r="A253" s="118"/>
      <c r="B253" s="31"/>
      <c r="C253" s="31"/>
      <c r="D253" s="6"/>
      <c r="E253" s="6"/>
      <c r="F253" s="6"/>
      <c r="G253" s="118"/>
      <c r="H253" s="118"/>
      <c r="I253" s="118"/>
      <c r="J253" s="118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28"/>
      <c r="Z253" s="4"/>
      <c r="AA253" s="4"/>
      <c r="AB253" s="4"/>
      <c r="AC253" s="4"/>
      <c r="AD253" s="4"/>
      <c r="AE253" s="4"/>
      <c r="AF253" s="4"/>
      <c r="AG253" s="4"/>
      <c r="AH253" s="4"/>
    </row>
    <row r="254" spans="1:34" s="7" customFormat="1" ht="18.75" customHeight="1" x14ac:dyDescent="0.3">
      <c r="A254" s="118"/>
      <c r="B254" s="31"/>
      <c r="C254" s="31"/>
      <c r="D254" s="6"/>
      <c r="E254" s="6"/>
      <c r="F254" s="6"/>
      <c r="G254" s="118"/>
      <c r="H254" s="118"/>
      <c r="I254" s="118"/>
      <c r="J254" s="118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28"/>
      <c r="Z254" s="4"/>
      <c r="AA254" s="4"/>
      <c r="AB254" s="4"/>
      <c r="AC254" s="4"/>
      <c r="AD254" s="4"/>
      <c r="AE254" s="4"/>
      <c r="AF254" s="4"/>
      <c r="AG254" s="4"/>
      <c r="AH254" s="4"/>
    </row>
    <row r="255" spans="1:34" s="7" customFormat="1" ht="18.75" customHeight="1" x14ac:dyDescent="0.3">
      <c r="A255" s="118"/>
      <c r="B255" s="31"/>
      <c r="C255" s="31"/>
      <c r="D255" s="6"/>
      <c r="E255" s="6"/>
      <c r="F255" s="6"/>
      <c r="G255" s="118"/>
      <c r="H255" s="118"/>
      <c r="I255" s="118"/>
      <c r="J255" s="118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28"/>
      <c r="Z255" s="4"/>
      <c r="AA255" s="4"/>
      <c r="AB255" s="4"/>
      <c r="AC255" s="4"/>
      <c r="AD255" s="4"/>
      <c r="AE255" s="4"/>
      <c r="AF255" s="4"/>
      <c r="AG255" s="4"/>
      <c r="AH255" s="4"/>
    </row>
    <row r="256" spans="1:34" s="7" customFormat="1" ht="18.75" customHeight="1" x14ac:dyDescent="0.3">
      <c r="A256" s="118"/>
      <c r="B256" s="31"/>
      <c r="C256" s="31"/>
      <c r="D256" s="6"/>
      <c r="E256" s="6"/>
      <c r="F256" s="6"/>
      <c r="G256" s="118"/>
      <c r="H256" s="118"/>
      <c r="I256" s="118"/>
      <c r="J256" s="118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28"/>
      <c r="Z256" s="4"/>
      <c r="AA256" s="4"/>
      <c r="AB256" s="4"/>
      <c r="AC256" s="4"/>
      <c r="AD256" s="4"/>
      <c r="AE256" s="4"/>
      <c r="AF256" s="4"/>
      <c r="AG256" s="4"/>
      <c r="AH256" s="4"/>
    </row>
    <row r="257" spans="1:34" s="7" customFormat="1" ht="18.75" customHeight="1" x14ac:dyDescent="0.3">
      <c r="A257" s="118"/>
      <c r="B257" s="31"/>
      <c r="C257" s="31"/>
      <c r="D257" s="6"/>
      <c r="E257" s="6"/>
      <c r="F257" s="6"/>
      <c r="G257" s="118"/>
      <c r="H257" s="118"/>
      <c r="I257" s="118"/>
      <c r="J257" s="118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28"/>
      <c r="Z257" s="4"/>
      <c r="AA257" s="4"/>
      <c r="AB257" s="4"/>
      <c r="AC257" s="4"/>
      <c r="AD257" s="4"/>
      <c r="AE257" s="4"/>
      <c r="AF257" s="4"/>
      <c r="AG257" s="4"/>
      <c r="AH257" s="4"/>
    </row>
    <row r="258" spans="1:34" s="7" customFormat="1" ht="18.75" customHeight="1" x14ac:dyDescent="0.3">
      <c r="A258" s="118"/>
      <c r="B258" s="31"/>
      <c r="C258" s="31"/>
      <c r="D258" s="6"/>
      <c r="E258" s="6"/>
      <c r="F258" s="6"/>
      <c r="G258" s="118"/>
      <c r="H258" s="118"/>
      <c r="I258" s="118"/>
      <c r="J258" s="118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28"/>
      <c r="Z258" s="4"/>
      <c r="AA258" s="4"/>
      <c r="AB258" s="4"/>
      <c r="AC258" s="4"/>
      <c r="AD258" s="4"/>
      <c r="AE258" s="4"/>
      <c r="AF258" s="4"/>
      <c r="AG258" s="4"/>
      <c r="AH258" s="4"/>
    </row>
    <row r="259" spans="1:34" s="7" customFormat="1" ht="18.75" customHeight="1" x14ac:dyDescent="0.3">
      <c r="A259" s="118"/>
      <c r="B259" s="31"/>
      <c r="C259" s="31"/>
      <c r="D259" s="6"/>
      <c r="E259" s="6"/>
      <c r="F259" s="6"/>
      <c r="G259" s="118"/>
      <c r="H259" s="118"/>
      <c r="I259" s="118"/>
      <c r="J259" s="118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28"/>
      <c r="Z259" s="4"/>
      <c r="AA259" s="4"/>
      <c r="AB259" s="4"/>
      <c r="AC259" s="4"/>
      <c r="AD259" s="4"/>
      <c r="AE259" s="4"/>
      <c r="AF259" s="4"/>
      <c r="AG259" s="4"/>
      <c r="AH259" s="4"/>
    </row>
    <row r="260" spans="1:34" s="7" customFormat="1" ht="29.25" customHeight="1" x14ac:dyDescent="0.3">
      <c r="A260" s="118"/>
      <c r="B260" s="31"/>
      <c r="C260" s="31"/>
      <c r="D260" s="6"/>
      <c r="E260" s="6"/>
      <c r="F260" s="6"/>
      <c r="G260" s="118"/>
      <c r="H260" s="118"/>
      <c r="I260" s="118"/>
      <c r="J260" s="118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28"/>
      <c r="Z260" s="4"/>
      <c r="AA260" s="4"/>
      <c r="AB260" s="4"/>
      <c r="AC260" s="4"/>
      <c r="AD260" s="4"/>
      <c r="AE260" s="4"/>
      <c r="AF260" s="4"/>
      <c r="AG260" s="4"/>
      <c r="AH260" s="4"/>
    </row>
    <row r="261" spans="1:34" s="7" customFormat="1" ht="18.75" customHeight="1" x14ac:dyDescent="0.3">
      <c r="A261" s="118"/>
      <c r="B261" s="31"/>
      <c r="C261" s="31"/>
      <c r="D261" s="6"/>
      <c r="E261" s="6"/>
      <c r="F261" s="6"/>
      <c r="G261" s="118"/>
      <c r="H261" s="118"/>
      <c r="I261" s="118"/>
      <c r="J261" s="118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28"/>
      <c r="Z261" s="4"/>
      <c r="AA261" s="4"/>
      <c r="AB261" s="4"/>
      <c r="AC261" s="4"/>
      <c r="AD261" s="4"/>
      <c r="AE261" s="4"/>
      <c r="AF261" s="4"/>
      <c r="AG261" s="4"/>
      <c r="AH261" s="4"/>
    </row>
    <row r="262" spans="1:34" s="7" customFormat="1" ht="18.75" customHeight="1" x14ac:dyDescent="0.3">
      <c r="A262" s="118"/>
      <c r="B262" s="31"/>
      <c r="C262" s="31"/>
      <c r="D262" s="6"/>
      <c r="E262" s="6"/>
      <c r="F262" s="6"/>
      <c r="G262" s="118"/>
      <c r="H262" s="118"/>
      <c r="I262" s="118"/>
      <c r="J262" s="118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28"/>
      <c r="Z262" s="4"/>
      <c r="AA262" s="4"/>
      <c r="AB262" s="4"/>
      <c r="AC262" s="4"/>
      <c r="AD262" s="4"/>
      <c r="AE262" s="4"/>
      <c r="AF262" s="4"/>
      <c r="AG262" s="4"/>
      <c r="AH262" s="4"/>
    </row>
    <row r="263" spans="1:34" s="7" customFormat="1" ht="18.75" customHeight="1" x14ac:dyDescent="0.3">
      <c r="A263" s="118"/>
      <c r="B263" s="31"/>
      <c r="C263" s="31"/>
      <c r="D263" s="6"/>
      <c r="E263" s="6"/>
      <c r="F263" s="6"/>
      <c r="G263" s="118"/>
      <c r="H263" s="118"/>
      <c r="I263" s="118"/>
      <c r="J263" s="118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28"/>
      <c r="Z263" s="4"/>
      <c r="AA263" s="4"/>
      <c r="AB263" s="4"/>
      <c r="AC263" s="4"/>
      <c r="AD263" s="4"/>
      <c r="AE263" s="4"/>
      <c r="AF263" s="4"/>
      <c r="AG263" s="4"/>
      <c r="AH263" s="4"/>
    </row>
    <row r="264" spans="1:34" s="7" customFormat="1" ht="18.75" customHeight="1" x14ac:dyDescent="0.3">
      <c r="A264" s="118"/>
      <c r="B264" s="31"/>
      <c r="C264" s="31"/>
      <c r="D264" s="6"/>
      <c r="E264" s="6"/>
      <c r="F264" s="6"/>
      <c r="G264" s="118"/>
      <c r="H264" s="118"/>
      <c r="I264" s="118"/>
      <c r="J264" s="118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28"/>
      <c r="Z264" s="4"/>
      <c r="AA264" s="4"/>
      <c r="AB264" s="4"/>
      <c r="AC264" s="4"/>
      <c r="AD264" s="4"/>
      <c r="AE264" s="4"/>
      <c r="AF264" s="4"/>
      <c r="AG264" s="4"/>
      <c r="AH264" s="4"/>
    </row>
    <row r="265" spans="1:34" s="7" customFormat="1" ht="18.75" customHeight="1" x14ac:dyDescent="0.3">
      <c r="A265" s="118"/>
      <c r="B265" s="31"/>
      <c r="C265" s="31"/>
      <c r="D265" s="6"/>
      <c r="E265" s="6"/>
      <c r="F265" s="6"/>
      <c r="G265" s="118"/>
      <c r="H265" s="118"/>
      <c r="I265" s="118"/>
      <c r="J265" s="118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28"/>
      <c r="Z265" s="4"/>
      <c r="AA265" s="4"/>
      <c r="AB265" s="4"/>
      <c r="AC265" s="4"/>
      <c r="AD265" s="4"/>
      <c r="AE265" s="4"/>
      <c r="AF265" s="4"/>
      <c r="AG265" s="4"/>
      <c r="AH265" s="4"/>
    </row>
    <row r="266" spans="1:34" s="7" customFormat="1" ht="18.75" customHeight="1" x14ac:dyDescent="0.3">
      <c r="A266" s="118"/>
      <c r="B266" s="31"/>
      <c r="C266" s="31"/>
      <c r="D266" s="6"/>
      <c r="E266" s="6"/>
      <c r="F266" s="6"/>
      <c r="G266" s="118"/>
      <c r="H266" s="118"/>
      <c r="I266" s="118"/>
      <c r="J266" s="118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28"/>
      <c r="Z266" s="4"/>
      <c r="AA266" s="4"/>
      <c r="AB266" s="4"/>
      <c r="AC266" s="4"/>
      <c r="AD266" s="4"/>
      <c r="AE266" s="4"/>
      <c r="AF266" s="4"/>
      <c r="AG266" s="4"/>
      <c r="AH266" s="4"/>
    </row>
    <row r="267" spans="1:34" s="7" customFormat="1" ht="18.75" customHeight="1" x14ac:dyDescent="0.3">
      <c r="A267" s="118"/>
      <c r="B267" s="31"/>
      <c r="C267" s="31"/>
      <c r="D267" s="6"/>
      <c r="E267" s="6"/>
      <c r="F267" s="6"/>
      <c r="G267" s="118"/>
      <c r="H267" s="118"/>
      <c r="I267" s="118"/>
      <c r="J267" s="118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28"/>
      <c r="Z267" s="4"/>
      <c r="AA267" s="4"/>
      <c r="AB267" s="4"/>
      <c r="AC267" s="4"/>
      <c r="AD267" s="4"/>
      <c r="AE267" s="4"/>
      <c r="AF267" s="4"/>
      <c r="AG267" s="4"/>
      <c r="AH267" s="4"/>
    </row>
    <row r="268" spans="1:34" s="7" customFormat="1" ht="18.75" customHeight="1" x14ac:dyDescent="0.3">
      <c r="A268" s="118"/>
      <c r="B268" s="31"/>
      <c r="C268" s="31"/>
      <c r="D268" s="6"/>
      <c r="E268" s="6"/>
      <c r="F268" s="6"/>
      <c r="G268" s="118"/>
      <c r="H268" s="118"/>
      <c r="I268" s="118"/>
      <c r="J268" s="118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28"/>
      <c r="Z268" s="4"/>
      <c r="AA268" s="4"/>
      <c r="AB268" s="4"/>
      <c r="AC268" s="4"/>
      <c r="AD268" s="4"/>
      <c r="AE268" s="4"/>
      <c r="AF268" s="4"/>
      <c r="AG268" s="4"/>
      <c r="AH268" s="4"/>
    </row>
    <row r="269" spans="1:34" ht="25.5" customHeight="1" x14ac:dyDescent="0.3">
      <c r="A269" s="118"/>
      <c r="B269" s="31"/>
      <c r="C269" s="31"/>
      <c r="D269" s="6"/>
      <c r="E269" s="6"/>
      <c r="F269" s="6"/>
      <c r="G269" s="118"/>
      <c r="H269" s="118"/>
      <c r="I269" s="118"/>
      <c r="J269" s="118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28"/>
    </row>
    <row r="270" spans="1:34" ht="25.5" customHeight="1" x14ac:dyDescent="0.3">
      <c r="A270" s="118"/>
      <c r="B270" s="31"/>
      <c r="C270" s="31"/>
      <c r="D270" s="6"/>
      <c r="E270" s="6"/>
      <c r="F270" s="6"/>
      <c r="G270" s="118"/>
      <c r="H270" s="118"/>
      <c r="I270" s="118"/>
      <c r="J270" s="118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28"/>
    </row>
    <row r="271" spans="1:34" ht="21.75" customHeight="1" x14ac:dyDescent="0.3">
      <c r="A271" s="118"/>
      <c r="B271" s="31"/>
      <c r="C271" s="31"/>
      <c r="D271" s="6"/>
      <c r="E271" s="6"/>
      <c r="F271" s="6"/>
      <c r="G271" s="118"/>
      <c r="H271" s="118"/>
      <c r="I271" s="118"/>
      <c r="J271" s="118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28"/>
    </row>
    <row r="272" spans="1:34" s="7" customFormat="1" ht="21.75" customHeight="1" x14ac:dyDescent="0.3">
      <c r="A272" s="118"/>
      <c r="B272" s="31"/>
      <c r="C272" s="31"/>
      <c r="D272" s="6"/>
      <c r="E272" s="6"/>
      <c r="F272" s="6"/>
      <c r="G272" s="118"/>
      <c r="H272" s="118"/>
      <c r="I272" s="118"/>
      <c r="J272" s="118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28"/>
      <c r="Z272" s="4"/>
      <c r="AA272" s="4"/>
      <c r="AB272" s="4"/>
      <c r="AC272" s="4"/>
      <c r="AD272" s="4"/>
      <c r="AE272" s="4"/>
      <c r="AF272" s="4"/>
      <c r="AG272" s="4"/>
      <c r="AH272" s="4"/>
    </row>
    <row r="273" spans="1:34" s="7" customFormat="1" ht="21.75" customHeight="1" x14ac:dyDescent="0.3">
      <c r="A273" s="118"/>
      <c r="B273" s="31"/>
      <c r="C273" s="31"/>
      <c r="D273" s="6"/>
      <c r="E273" s="6"/>
      <c r="F273" s="6"/>
      <c r="G273" s="118"/>
      <c r="H273" s="118"/>
      <c r="I273" s="118"/>
      <c r="J273" s="118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28"/>
      <c r="Z273" s="4"/>
      <c r="AA273" s="4"/>
      <c r="AB273" s="4"/>
      <c r="AC273" s="4"/>
      <c r="AD273" s="4"/>
      <c r="AE273" s="4"/>
      <c r="AF273" s="4"/>
      <c r="AG273" s="4"/>
      <c r="AH273" s="4"/>
    </row>
    <row r="274" spans="1:34" s="7" customFormat="1" ht="21.75" customHeight="1" x14ac:dyDescent="0.3">
      <c r="A274" s="118"/>
      <c r="B274" s="31"/>
      <c r="C274" s="31"/>
      <c r="D274" s="6"/>
      <c r="E274" s="6"/>
      <c r="F274" s="6"/>
      <c r="G274" s="118"/>
      <c r="H274" s="118"/>
      <c r="I274" s="118"/>
      <c r="J274" s="118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28"/>
      <c r="Z274" s="4"/>
      <c r="AA274" s="4"/>
      <c r="AB274" s="4"/>
      <c r="AC274" s="4"/>
      <c r="AD274" s="4"/>
      <c r="AE274" s="4"/>
      <c r="AF274" s="4"/>
      <c r="AG274" s="4"/>
      <c r="AH274" s="4"/>
    </row>
    <row r="275" spans="1:34" ht="21.75" customHeight="1" x14ac:dyDescent="0.3">
      <c r="A275" s="118"/>
      <c r="B275" s="31"/>
      <c r="C275" s="31"/>
      <c r="D275" s="6"/>
      <c r="E275" s="6"/>
      <c r="F275" s="6"/>
      <c r="G275" s="118"/>
      <c r="H275" s="118"/>
      <c r="I275" s="118"/>
      <c r="J275" s="118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28"/>
    </row>
    <row r="276" spans="1:34" ht="21.75" customHeight="1" x14ac:dyDescent="0.3">
      <c r="A276" s="118"/>
      <c r="B276" s="31"/>
      <c r="C276" s="31"/>
      <c r="D276" s="6"/>
      <c r="E276" s="6"/>
      <c r="F276" s="6"/>
      <c r="G276" s="118"/>
      <c r="H276" s="118"/>
      <c r="I276" s="118"/>
      <c r="J276" s="118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28"/>
    </row>
    <row r="277" spans="1:34" ht="21.75" customHeight="1" x14ac:dyDescent="0.3">
      <c r="A277" s="118"/>
      <c r="B277" s="31"/>
      <c r="C277" s="31"/>
      <c r="D277" s="6"/>
      <c r="E277" s="6"/>
      <c r="F277" s="6"/>
      <c r="G277" s="118"/>
      <c r="H277" s="118"/>
      <c r="I277" s="118"/>
      <c r="J277" s="118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28"/>
    </row>
    <row r="278" spans="1:34" ht="21.75" customHeight="1" x14ac:dyDescent="0.3">
      <c r="A278" s="118"/>
      <c r="B278" s="31"/>
      <c r="C278" s="31"/>
      <c r="D278" s="6"/>
      <c r="E278" s="6"/>
      <c r="F278" s="6"/>
      <c r="G278" s="118"/>
      <c r="H278" s="118"/>
      <c r="I278" s="118"/>
      <c r="J278" s="118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28"/>
    </row>
    <row r="279" spans="1:34" ht="21.75" customHeight="1" x14ac:dyDescent="0.3">
      <c r="A279" s="118"/>
      <c r="B279" s="31"/>
      <c r="C279" s="31"/>
      <c r="D279" s="6"/>
      <c r="E279" s="6"/>
      <c r="F279" s="6"/>
      <c r="G279" s="118"/>
      <c r="H279" s="118"/>
      <c r="I279" s="118"/>
      <c r="J279" s="118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28"/>
    </row>
    <row r="280" spans="1:34" ht="21.75" customHeight="1" x14ac:dyDescent="0.3">
      <c r="A280" s="118"/>
      <c r="B280" s="31"/>
      <c r="C280" s="31"/>
      <c r="D280" s="6"/>
      <c r="E280" s="6"/>
      <c r="F280" s="6"/>
      <c r="G280" s="118"/>
      <c r="H280" s="118"/>
      <c r="I280" s="118"/>
      <c r="J280" s="118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28"/>
      <c r="AG280" s="5"/>
      <c r="AH280" s="5"/>
    </row>
    <row r="281" spans="1:34" ht="21.75" customHeight="1" x14ac:dyDescent="0.3">
      <c r="A281" s="118"/>
      <c r="B281" s="31"/>
      <c r="C281" s="31"/>
      <c r="D281" s="6"/>
      <c r="E281" s="6"/>
      <c r="F281" s="6"/>
      <c r="G281" s="118"/>
      <c r="H281" s="118"/>
      <c r="I281" s="118"/>
      <c r="J281" s="118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28"/>
      <c r="AG281" s="5"/>
      <c r="AH281" s="5"/>
    </row>
    <row r="282" spans="1:34" ht="21.75" customHeight="1" x14ac:dyDescent="0.3">
      <c r="A282" s="118"/>
      <c r="B282" s="31"/>
      <c r="C282" s="31"/>
      <c r="D282" s="6"/>
      <c r="E282" s="6"/>
      <c r="F282" s="6"/>
      <c r="G282" s="118"/>
      <c r="H282" s="118"/>
      <c r="I282" s="118"/>
      <c r="J282" s="118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28"/>
      <c r="AG282" s="5"/>
      <c r="AH282" s="5"/>
    </row>
    <row r="283" spans="1:34" ht="21.75" customHeight="1" x14ac:dyDescent="0.3">
      <c r="A283" s="118"/>
      <c r="B283" s="31"/>
      <c r="C283" s="31"/>
      <c r="D283" s="6"/>
      <c r="E283" s="6"/>
      <c r="F283" s="6"/>
      <c r="G283" s="118"/>
      <c r="H283" s="118"/>
      <c r="I283" s="118"/>
      <c r="J283" s="118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28"/>
      <c r="AF283" s="9"/>
      <c r="AG283" s="5"/>
      <c r="AH283" s="5"/>
    </row>
    <row r="284" spans="1:34" ht="21.75" customHeight="1" x14ac:dyDescent="0.3">
      <c r="A284" s="118"/>
      <c r="B284" s="31"/>
      <c r="C284" s="31"/>
      <c r="D284" s="6"/>
      <c r="E284" s="6"/>
      <c r="F284" s="6"/>
      <c r="G284" s="118"/>
      <c r="H284" s="118"/>
      <c r="I284" s="118"/>
      <c r="J284" s="118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28"/>
      <c r="AF284" s="9"/>
      <c r="AG284" s="5"/>
      <c r="AH284" s="5"/>
    </row>
    <row r="285" spans="1:34" ht="25.5" customHeight="1" x14ac:dyDescent="0.3">
      <c r="A285" s="118"/>
      <c r="B285" s="31"/>
      <c r="C285" s="31"/>
      <c r="D285" s="6"/>
      <c r="E285" s="6"/>
      <c r="F285" s="6"/>
      <c r="G285" s="118"/>
      <c r="H285" s="118"/>
      <c r="I285" s="118"/>
      <c r="J285" s="118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28"/>
      <c r="AG285" s="5"/>
      <c r="AH285" s="5"/>
    </row>
    <row r="286" spans="1:34" s="3" customFormat="1" ht="21" customHeight="1" x14ac:dyDescent="0.3">
      <c r="A286" s="118"/>
      <c r="B286" s="31"/>
      <c r="C286" s="31"/>
      <c r="D286" s="6"/>
      <c r="E286" s="6"/>
      <c r="F286" s="6"/>
      <c r="G286" s="118"/>
      <c r="H286" s="118"/>
      <c r="I286" s="118"/>
      <c r="J286" s="118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28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1:34" s="3" customFormat="1" ht="21" customHeight="1" x14ac:dyDescent="0.3">
      <c r="A287" s="118"/>
      <c r="B287" s="31"/>
      <c r="C287" s="31"/>
      <c r="D287" s="6"/>
      <c r="E287" s="6"/>
      <c r="F287" s="6"/>
      <c r="G287" s="118"/>
      <c r="H287" s="118"/>
      <c r="I287" s="118"/>
      <c r="J287" s="118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28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1:34" s="3" customFormat="1" ht="21" customHeight="1" x14ac:dyDescent="0.3">
      <c r="A288" s="118"/>
      <c r="B288" s="31"/>
      <c r="C288" s="31"/>
      <c r="D288" s="6"/>
      <c r="E288" s="6"/>
      <c r="F288" s="6"/>
      <c r="G288" s="118"/>
      <c r="H288" s="118"/>
      <c r="I288" s="118"/>
      <c r="J288" s="118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28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:34" s="3" customFormat="1" ht="21" customHeight="1" x14ac:dyDescent="0.3">
      <c r="A289" s="118"/>
      <c r="B289" s="31"/>
      <c r="C289" s="31"/>
      <c r="D289" s="6"/>
      <c r="E289" s="6"/>
      <c r="F289" s="6"/>
      <c r="G289" s="118"/>
      <c r="H289" s="118"/>
      <c r="I289" s="118"/>
      <c r="J289" s="118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28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:34" s="3" customFormat="1" ht="21" customHeight="1" x14ac:dyDescent="0.3">
      <c r="A290" s="118"/>
      <c r="B290" s="31"/>
      <c r="C290" s="31"/>
      <c r="D290" s="6"/>
      <c r="E290" s="6"/>
      <c r="F290" s="6"/>
      <c r="G290" s="118"/>
      <c r="H290" s="118"/>
      <c r="I290" s="118"/>
      <c r="J290" s="118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28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:34" ht="25.5" customHeight="1" x14ac:dyDescent="0.3">
      <c r="A291" s="118"/>
      <c r="B291" s="31"/>
      <c r="C291" s="31"/>
      <c r="D291" s="6"/>
      <c r="E291" s="6"/>
      <c r="F291" s="6"/>
      <c r="G291" s="118"/>
      <c r="H291" s="118"/>
      <c r="I291" s="118"/>
      <c r="J291" s="118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28"/>
    </row>
    <row r="292" spans="1:34" ht="25.5" customHeight="1" x14ac:dyDescent="0.3">
      <c r="A292" s="118"/>
      <c r="B292" s="31"/>
      <c r="C292" s="31"/>
      <c r="D292" s="6"/>
      <c r="E292" s="6"/>
      <c r="F292" s="6"/>
      <c r="G292" s="118"/>
      <c r="H292" s="118"/>
      <c r="I292" s="118"/>
      <c r="J292" s="118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28"/>
    </row>
    <row r="293" spans="1:34" ht="25.5" customHeight="1" x14ac:dyDescent="0.3">
      <c r="A293" s="118"/>
      <c r="B293" s="31"/>
      <c r="C293" s="31"/>
      <c r="D293" s="6"/>
      <c r="E293" s="6"/>
      <c r="F293" s="6"/>
      <c r="G293" s="118"/>
      <c r="H293" s="118"/>
      <c r="I293" s="118"/>
      <c r="J293" s="118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28"/>
    </row>
    <row r="294" spans="1:34" ht="25.5" customHeight="1" x14ac:dyDescent="0.3">
      <c r="A294" s="118"/>
      <c r="B294" s="31"/>
      <c r="C294" s="31"/>
      <c r="D294" s="6"/>
      <c r="E294" s="6"/>
      <c r="F294" s="6"/>
      <c r="G294" s="118"/>
      <c r="H294" s="118"/>
      <c r="I294" s="118"/>
      <c r="J294" s="118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28"/>
    </row>
    <row r="295" spans="1:34" ht="25.5" customHeight="1" x14ac:dyDescent="0.3">
      <c r="A295" s="118"/>
      <c r="B295" s="31"/>
      <c r="C295" s="31"/>
      <c r="D295" s="6"/>
      <c r="E295" s="6"/>
      <c r="F295" s="6"/>
      <c r="G295" s="118"/>
      <c r="H295" s="118"/>
      <c r="I295" s="118"/>
      <c r="J295" s="118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28"/>
    </row>
    <row r="296" spans="1:34" x14ac:dyDescent="0.3">
      <c r="A296" s="118"/>
      <c r="B296" s="31"/>
      <c r="C296" s="31"/>
      <c r="D296" s="6"/>
      <c r="E296" s="6"/>
      <c r="F296" s="6"/>
      <c r="G296" s="118"/>
      <c r="H296" s="118"/>
      <c r="I296" s="118"/>
      <c r="J296" s="118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28"/>
    </row>
    <row r="297" spans="1:34" x14ac:dyDescent="0.3">
      <c r="A297" s="118"/>
      <c r="B297" s="31"/>
      <c r="C297" s="31"/>
      <c r="D297" s="6"/>
      <c r="E297" s="6"/>
      <c r="F297" s="6"/>
      <c r="G297" s="118"/>
      <c r="H297" s="118"/>
      <c r="I297" s="118"/>
      <c r="J297" s="118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28"/>
    </row>
    <row r="298" spans="1:34" x14ac:dyDescent="0.3">
      <c r="A298" s="118"/>
      <c r="B298" s="31"/>
      <c r="C298" s="31"/>
      <c r="D298" s="6"/>
      <c r="E298" s="6"/>
      <c r="F298" s="6"/>
      <c r="G298" s="118"/>
      <c r="H298" s="118"/>
      <c r="I298" s="118"/>
      <c r="J298" s="118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28"/>
    </row>
    <row r="299" spans="1:34" x14ac:dyDescent="0.3">
      <c r="A299" s="118"/>
      <c r="B299" s="31"/>
      <c r="C299" s="31"/>
      <c r="D299" s="6"/>
      <c r="E299" s="6"/>
      <c r="F299" s="6"/>
      <c r="G299" s="118"/>
      <c r="H299" s="118"/>
      <c r="I299" s="118"/>
      <c r="J299" s="118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28"/>
    </row>
    <row r="300" spans="1:34" x14ac:dyDescent="0.3">
      <c r="A300" s="118"/>
      <c r="B300" s="31"/>
      <c r="C300" s="31"/>
      <c r="D300" s="6"/>
      <c r="E300" s="6"/>
      <c r="F300" s="6"/>
      <c r="G300" s="118"/>
      <c r="H300" s="118"/>
      <c r="I300" s="118"/>
      <c r="J300" s="118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28"/>
    </row>
    <row r="301" spans="1:34" x14ac:dyDescent="0.3">
      <c r="A301" s="118"/>
      <c r="B301" s="31"/>
      <c r="C301" s="31"/>
      <c r="D301" s="6"/>
      <c r="E301" s="6"/>
      <c r="F301" s="6"/>
      <c r="G301" s="118"/>
      <c r="H301" s="118"/>
      <c r="I301" s="118"/>
      <c r="J301" s="118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28"/>
    </row>
    <row r="302" spans="1:34" x14ac:dyDescent="0.3">
      <c r="A302" s="118"/>
      <c r="B302" s="31"/>
      <c r="C302" s="31"/>
      <c r="D302" s="6"/>
      <c r="E302" s="6"/>
      <c r="F302" s="6"/>
      <c r="G302" s="118"/>
      <c r="H302" s="118"/>
      <c r="I302" s="118"/>
      <c r="J302" s="118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28"/>
    </row>
    <row r="303" spans="1:34" x14ac:dyDescent="0.3">
      <c r="A303" s="118"/>
      <c r="B303" s="31"/>
      <c r="C303" s="31"/>
      <c r="D303" s="6"/>
      <c r="E303" s="6"/>
      <c r="F303" s="6"/>
      <c r="G303" s="118"/>
      <c r="H303" s="118"/>
      <c r="I303" s="118"/>
      <c r="J303" s="118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28"/>
    </row>
    <row r="304" spans="1:34" s="7" customFormat="1" x14ac:dyDescent="0.3">
      <c r="A304" s="118"/>
      <c r="B304" s="31"/>
      <c r="C304" s="31"/>
      <c r="D304" s="6"/>
      <c r="E304" s="6"/>
      <c r="F304" s="6"/>
      <c r="G304" s="118"/>
      <c r="H304" s="118"/>
      <c r="I304" s="118"/>
      <c r="J304" s="118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28"/>
      <c r="Z304" s="4"/>
      <c r="AA304" s="4"/>
      <c r="AB304" s="4"/>
      <c r="AC304" s="4"/>
      <c r="AD304" s="4"/>
      <c r="AE304" s="4"/>
      <c r="AF304" s="4"/>
      <c r="AG304" s="4"/>
      <c r="AH304" s="4"/>
    </row>
    <row r="305" spans="1:34" s="7" customFormat="1" x14ac:dyDescent="0.3">
      <c r="A305" s="118"/>
      <c r="B305" s="31"/>
      <c r="C305" s="31"/>
      <c r="D305" s="6"/>
      <c r="E305" s="6"/>
      <c r="F305" s="6"/>
      <c r="G305" s="118"/>
      <c r="H305" s="118"/>
      <c r="I305" s="118"/>
      <c r="J305" s="118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28"/>
      <c r="Z305" s="4"/>
      <c r="AA305" s="4"/>
      <c r="AB305" s="4"/>
      <c r="AC305" s="4"/>
      <c r="AD305" s="4"/>
      <c r="AE305" s="4"/>
      <c r="AF305" s="4"/>
      <c r="AG305" s="4"/>
      <c r="AH305" s="4"/>
    </row>
    <row r="306" spans="1:34" s="7" customFormat="1" x14ac:dyDescent="0.3">
      <c r="A306" s="118"/>
      <c r="B306" s="31"/>
      <c r="C306" s="31"/>
      <c r="D306" s="6"/>
      <c r="E306" s="6"/>
      <c r="F306" s="6"/>
      <c r="G306" s="118"/>
      <c r="H306" s="118"/>
      <c r="I306" s="118"/>
      <c r="J306" s="118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28"/>
      <c r="Z306" s="4"/>
      <c r="AA306" s="4"/>
      <c r="AB306" s="4"/>
      <c r="AC306" s="4"/>
      <c r="AD306" s="4"/>
      <c r="AE306" s="4"/>
      <c r="AF306" s="4"/>
      <c r="AG306" s="4"/>
      <c r="AH306" s="4"/>
    </row>
    <row r="307" spans="1:34" s="7" customFormat="1" x14ac:dyDescent="0.3">
      <c r="A307" s="118"/>
      <c r="B307" s="31"/>
      <c r="C307" s="31"/>
      <c r="D307" s="6"/>
      <c r="E307" s="6"/>
      <c r="F307" s="6"/>
      <c r="G307" s="118"/>
      <c r="H307" s="118"/>
      <c r="I307" s="118"/>
      <c r="J307" s="118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28"/>
      <c r="Z307" s="4"/>
      <c r="AA307" s="4"/>
      <c r="AB307" s="4"/>
      <c r="AC307" s="4"/>
      <c r="AD307" s="4"/>
      <c r="AE307" s="4"/>
      <c r="AF307" s="4"/>
      <c r="AG307" s="4"/>
      <c r="AH307" s="4"/>
    </row>
    <row r="308" spans="1:34" s="7" customFormat="1" x14ac:dyDescent="0.3">
      <c r="A308" s="118"/>
      <c r="B308" s="31"/>
      <c r="C308" s="31"/>
      <c r="D308" s="6"/>
      <c r="E308" s="6"/>
      <c r="F308" s="6"/>
      <c r="G308" s="118"/>
      <c r="H308" s="118"/>
      <c r="I308" s="118"/>
      <c r="J308" s="118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28"/>
      <c r="Z308" s="4"/>
      <c r="AA308" s="4"/>
      <c r="AB308" s="4"/>
      <c r="AC308" s="4"/>
      <c r="AD308" s="4"/>
      <c r="AE308" s="4"/>
      <c r="AF308" s="4"/>
      <c r="AG308" s="4"/>
      <c r="AH308" s="4"/>
    </row>
    <row r="309" spans="1:34" s="7" customFormat="1" x14ac:dyDescent="0.3">
      <c r="A309" s="118"/>
      <c r="B309" s="31"/>
      <c r="C309" s="31"/>
      <c r="D309" s="6"/>
      <c r="E309" s="6"/>
      <c r="F309" s="6"/>
      <c r="G309" s="118"/>
      <c r="H309" s="118"/>
      <c r="I309" s="118"/>
      <c r="J309" s="118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28"/>
      <c r="Z309" s="4"/>
      <c r="AA309" s="4"/>
      <c r="AB309" s="4"/>
      <c r="AC309" s="4"/>
      <c r="AD309" s="4"/>
      <c r="AE309" s="4"/>
      <c r="AF309" s="4"/>
      <c r="AG309" s="4"/>
      <c r="AH309" s="4"/>
    </row>
    <row r="310" spans="1:34" s="7" customFormat="1" x14ac:dyDescent="0.3">
      <c r="A310" s="118"/>
      <c r="B310" s="31"/>
      <c r="C310" s="31"/>
      <c r="D310" s="6"/>
      <c r="E310" s="6"/>
      <c r="F310" s="6"/>
      <c r="G310" s="118"/>
      <c r="H310" s="118"/>
      <c r="I310" s="118"/>
      <c r="J310" s="118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28"/>
      <c r="Z310" s="4"/>
      <c r="AA310" s="4"/>
      <c r="AB310" s="4"/>
      <c r="AC310" s="4"/>
      <c r="AD310" s="4"/>
      <c r="AE310" s="4"/>
      <c r="AF310" s="4"/>
      <c r="AG310" s="4"/>
      <c r="AH310" s="4"/>
    </row>
    <row r="311" spans="1:34" s="7" customFormat="1" x14ac:dyDescent="0.3">
      <c r="A311" s="118"/>
      <c r="B311" s="31"/>
      <c r="C311" s="31"/>
      <c r="D311" s="6"/>
      <c r="E311" s="6"/>
      <c r="F311" s="6"/>
      <c r="G311" s="118"/>
      <c r="H311" s="118"/>
      <c r="I311" s="118"/>
      <c r="J311" s="118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28"/>
      <c r="Z311" s="4"/>
      <c r="AA311" s="4"/>
      <c r="AB311" s="4"/>
      <c r="AC311" s="4"/>
      <c r="AD311" s="4"/>
      <c r="AE311" s="4"/>
      <c r="AF311" s="4"/>
      <c r="AG311" s="4"/>
      <c r="AH311" s="4"/>
    </row>
    <row r="312" spans="1:34" s="7" customFormat="1" x14ac:dyDescent="0.3">
      <c r="A312" s="118"/>
      <c r="B312" s="31"/>
      <c r="C312" s="31"/>
      <c r="D312" s="6"/>
      <c r="E312" s="6"/>
      <c r="F312" s="6"/>
      <c r="G312" s="118"/>
      <c r="H312" s="118"/>
      <c r="I312" s="118"/>
      <c r="J312" s="118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28"/>
      <c r="Z312" s="4"/>
      <c r="AA312" s="4"/>
      <c r="AB312" s="4"/>
      <c r="AC312" s="4"/>
      <c r="AD312" s="4"/>
      <c r="AE312" s="4"/>
      <c r="AF312" s="4"/>
      <c r="AG312" s="4"/>
      <c r="AH312" s="4"/>
    </row>
    <row r="313" spans="1:34" s="7" customFormat="1" x14ac:dyDescent="0.3">
      <c r="A313" s="118"/>
      <c r="B313" s="31"/>
      <c r="C313" s="31"/>
      <c r="D313" s="6"/>
      <c r="E313" s="6"/>
      <c r="F313" s="6"/>
      <c r="G313" s="118"/>
      <c r="H313" s="118"/>
      <c r="I313" s="118"/>
      <c r="J313" s="118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28"/>
      <c r="Z313" s="4"/>
      <c r="AA313" s="4"/>
      <c r="AB313" s="4"/>
      <c r="AC313" s="4"/>
      <c r="AD313" s="4"/>
      <c r="AE313" s="4"/>
      <c r="AF313" s="4"/>
      <c r="AG313" s="4"/>
      <c r="AH313" s="4"/>
    </row>
    <row r="314" spans="1:34" s="7" customFormat="1" x14ac:dyDescent="0.3">
      <c r="A314" s="118"/>
      <c r="B314" s="31"/>
      <c r="C314" s="31"/>
      <c r="D314" s="6"/>
      <c r="E314" s="6"/>
      <c r="F314" s="6"/>
      <c r="G314" s="118"/>
      <c r="H314" s="118"/>
      <c r="I314" s="118"/>
      <c r="J314" s="118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28"/>
      <c r="Z314" s="4"/>
      <c r="AA314" s="4"/>
      <c r="AB314" s="4"/>
      <c r="AC314" s="4"/>
      <c r="AD314" s="4"/>
      <c r="AE314" s="4"/>
      <c r="AF314" s="4"/>
      <c r="AG314" s="4"/>
      <c r="AH314" s="4"/>
    </row>
    <row r="315" spans="1:34" s="7" customFormat="1" x14ac:dyDescent="0.3">
      <c r="A315" s="118"/>
      <c r="B315" s="31"/>
      <c r="C315" s="31"/>
      <c r="D315" s="6"/>
      <c r="E315" s="6"/>
      <c r="F315" s="6"/>
      <c r="G315" s="118"/>
      <c r="H315" s="118"/>
      <c r="I315" s="118"/>
      <c r="J315" s="118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28"/>
      <c r="Z315" s="4"/>
      <c r="AA315" s="4"/>
      <c r="AB315" s="4"/>
      <c r="AC315" s="4"/>
      <c r="AD315" s="4"/>
      <c r="AE315" s="4"/>
      <c r="AF315" s="4"/>
      <c r="AG315" s="4"/>
      <c r="AH315" s="4"/>
    </row>
    <row r="316" spans="1:34" s="7" customFormat="1" x14ac:dyDescent="0.3">
      <c r="A316" s="118"/>
      <c r="B316" s="31"/>
      <c r="C316" s="31"/>
      <c r="D316" s="6"/>
      <c r="E316" s="6"/>
      <c r="F316" s="6"/>
      <c r="G316" s="118"/>
      <c r="H316" s="118"/>
      <c r="I316" s="118"/>
      <c r="J316" s="118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28"/>
      <c r="Z316" s="4"/>
      <c r="AA316" s="4"/>
      <c r="AB316" s="4"/>
      <c r="AC316" s="4"/>
      <c r="AD316" s="4"/>
      <c r="AE316" s="4"/>
      <c r="AF316" s="4"/>
      <c r="AG316" s="4"/>
      <c r="AH316" s="4"/>
    </row>
    <row r="317" spans="1:34" s="7" customFormat="1" x14ac:dyDescent="0.3">
      <c r="A317" s="118"/>
      <c r="B317" s="31"/>
      <c r="C317" s="31"/>
      <c r="D317" s="6"/>
      <c r="E317" s="6"/>
      <c r="F317" s="6"/>
      <c r="G317" s="118"/>
      <c r="H317" s="118"/>
      <c r="I317" s="118"/>
      <c r="J317" s="118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28"/>
      <c r="Z317" s="4"/>
      <c r="AA317" s="4"/>
      <c r="AB317" s="4"/>
      <c r="AC317" s="4"/>
      <c r="AD317" s="4"/>
      <c r="AE317" s="4"/>
      <c r="AF317" s="4"/>
      <c r="AG317" s="4"/>
      <c r="AH317" s="4"/>
    </row>
    <row r="318" spans="1:34" s="7" customFormat="1" x14ac:dyDescent="0.3">
      <c r="A318" s="118"/>
      <c r="B318" s="31"/>
      <c r="C318" s="31"/>
      <c r="D318" s="6"/>
      <c r="E318" s="6"/>
      <c r="F318" s="6"/>
      <c r="G318" s="118"/>
      <c r="H318" s="118"/>
      <c r="I318" s="118"/>
      <c r="J318" s="118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28"/>
      <c r="Z318" s="4"/>
      <c r="AA318" s="4"/>
      <c r="AB318" s="4"/>
      <c r="AC318" s="4"/>
      <c r="AD318" s="4"/>
      <c r="AE318" s="4"/>
      <c r="AF318" s="4"/>
      <c r="AG318" s="4"/>
      <c r="AH318" s="4"/>
    </row>
    <row r="319" spans="1:34" s="7" customFormat="1" x14ac:dyDescent="0.3">
      <c r="A319" s="118"/>
      <c r="B319" s="31"/>
      <c r="C319" s="31"/>
      <c r="D319" s="6"/>
      <c r="E319" s="6"/>
      <c r="F319" s="6"/>
      <c r="G319" s="118"/>
      <c r="H319" s="118"/>
      <c r="I319" s="118"/>
      <c r="J319" s="118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28"/>
      <c r="Z319" s="4"/>
      <c r="AA319" s="4"/>
      <c r="AB319" s="4"/>
      <c r="AC319" s="4"/>
      <c r="AD319" s="4"/>
      <c r="AE319" s="4"/>
      <c r="AF319" s="4"/>
      <c r="AG319" s="4"/>
      <c r="AH319" s="4"/>
    </row>
    <row r="320" spans="1:34" s="7" customFormat="1" x14ac:dyDescent="0.3">
      <c r="A320" s="118"/>
      <c r="B320" s="31"/>
      <c r="C320" s="31"/>
      <c r="D320" s="6"/>
      <c r="E320" s="6"/>
      <c r="F320" s="6"/>
      <c r="G320" s="118"/>
      <c r="H320" s="118"/>
      <c r="I320" s="118"/>
      <c r="J320" s="118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28"/>
      <c r="Z320" s="4"/>
      <c r="AA320" s="4"/>
      <c r="AB320" s="4"/>
      <c r="AC320" s="4"/>
      <c r="AD320" s="4"/>
      <c r="AE320" s="4"/>
      <c r="AF320" s="4"/>
      <c r="AG320" s="4"/>
      <c r="AH320" s="4"/>
    </row>
    <row r="321" spans="1:34" s="7" customFormat="1" x14ac:dyDescent="0.3">
      <c r="A321" s="118"/>
      <c r="B321" s="31"/>
      <c r="C321" s="31"/>
      <c r="D321" s="6"/>
      <c r="E321" s="6"/>
      <c r="F321" s="6"/>
      <c r="G321" s="118"/>
      <c r="H321" s="118"/>
      <c r="I321" s="118"/>
      <c r="J321" s="118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28"/>
      <c r="Z321" s="4"/>
      <c r="AA321" s="4"/>
      <c r="AB321" s="4"/>
      <c r="AC321" s="4"/>
      <c r="AD321" s="4"/>
      <c r="AE321" s="4"/>
      <c r="AF321" s="4"/>
      <c r="AG321" s="4"/>
      <c r="AH321" s="4"/>
    </row>
    <row r="322" spans="1:34" s="7" customFormat="1" x14ac:dyDescent="0.3">
      <c r="A322" s="118"/>
      <c r="B322" s="31"/>
      <c r="C322" s="31"/>
      <c r="D322" s="6"/>
      <c r="E322" s="6"/>
      <c r="F322" s="6"/>
      <c r="G322" s="118"/>
      <c r="H322" s="118"/>
      <c r="I322" s="118"/>
      <c r="J322" s="118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28"/>
      <c r="Z322" s="4"/>
      <c r="AA322" s="4"/>
      <c r="AB322" s="4"/>
      <c r="AC322" s="4"/>
      <c r="AD322" s="4"/>
      <c r="AE322" s="4"/>
      <c r="AF322" s="4"/>
      <c r="AG322" s="4"/>
      <c r="AH322" s="4"/>
    </row>
    <row r="323" spans="1:34" s="7" customFormat="1" x14ac:dyDescent="0.3">
      <c r="A323" s="118"/>
      <c r="B323" s="31"/>
      <c r="C323" s="31"/>
      <c r="D323" s="6"/>
      <c r="E323" s="6"/>
      <c r="F323" s="6"/>
      <c r="G323" s="118"/>
      <c r="H323" s="118"/>
      <c r="I323" s="118"/>
      <c r="J323" s="118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28"/>
      <c r="Z323" s="4"/>
      <c r="AA323" s="4"/>
      <c r="AB323" s="4"/>
      <c r="AC323" s="4"/>
      <c r="AD323" s="4"/>
      <c r="AE323" s="4"/>
      <c r="AF323" s="4"/>
      <c r="AG323" s="4"/>
      <c r="AH323" s="4"/>
    </row>
    <row r="324" spans="1:34" s="7" customFormat="1" x14ac:dyDescent="0.3">
      <c r="A324" s="118"/>
      <c r="B324" s="31"/>
      <c r="C324" s="31"/>
      <c r="D324" s="6"/>
      <c r="E324" s="6"/>
      <c r="F324" s="6"/>
      <c r="G324" s="118"/>
      <c r="H324" s="118"/>
      <c r="I324" s="118"/>
      <c r="J324" s="118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28"/>
      <c r="Z324" s="4"/>
      <c r="AA324" s="4"/>
      <c r="AB324" s="4"/>
      <c r="AC324" s="4"/>
      <c r="AD324" s="4"/>
      <c r="AE324" s="4"/>
      <c r="AF324" s="4"/>
      <c r="AG324" s="4"/>
      <c r="AH324" s="4"/>
    </row>
    <row r="325" spans="1:34" s="7" customFormat="1" x14ac:dyDescent="0.3">
      <c r="A325" s="118"/>
      <c r="B325" s="31"/>
      <c r="C325" s="31"/>
      <c r="D325" s="6"/>
      <c r="E325" s="6"/>
      <c r="F325" s="6"/>
      <c r="G325" s="118"/>
      <c r="H325" s="118"/>
      <c r="I325" s="118"/>
      <c r="J325" s="118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28"/>
      <c r="Z325" s="4"/>
      <c r="AA325" s="4"/>
      <c r="AB325" s="4"/>
      <c r="AC325" s="4"/>
      <c r="AD325" s="4"/>
      <c r="AE325" s="4"/>
      <c r="AF325" s="4"/>
      <c r="AG325" s="4"/>
      <c r="AH325" s="4"/>
    </row>
    <row r="326" spans="1:34" s="7" customFormat="1" x14ac:dyDescent="0.3">
      <c r="A326" s="118"/>
      <c r="B326" s="31"/>
      <c r="C326" s="31"/>
      <c r="D326" s="6"/>
      <c r="E326" s="6"/>
      <c r="F326" s="6"/>
      <c r="G326" s="118"/>
      <c r="H326" s="118"/>
      <c r="I326" s="118"/>
      <c r="J326" s="118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28"/>
      <c r="Z326" s="4"/>
      <c r="AA326" s="4"/>
      <c r="AB326" s="4"/>
      <c r="AC326" s="4"/>
      <c r="AD326" s="4"/>
      <c r="AE326" s="4"/>
      <c r="AF326" s="4"/>
      <c r="AG326" s="4"/>
      <c r="AH326" s="4"/>
    </row>
    <row r="327" spans="1:34" s="7" customFormat="1" x14ac:dyDescent="0.3">
      <c r="A327" s="118"/>
      <c r="B327" s="31"/>
      <c r="C327" s="31"/>
      <c r="D327" s="6"/>
      <c r="E327" s="6"/>
      <c r="F327" s="6"/>
      <c r="G327" s="118"/>
      <c r="H327" s="118"/>
      <c r="I327" s="118"/>
      <c r="J327" s="118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28"/>
      <c r="Z327" s="4"/>
      <c r="AA327" s="4"/>
      <c r="AB327" s="4"/>
      <c r="AC327" s="4"/>
      <c r="AD327" s="4"/>
      <c r="AE327" s="4"/>
      <c r="AF327" s="4"/>
      <c r="AG327" s="4"/>
      <c r="AH327" s="4"/>
    </row>
    <row r="328" spans="1:34" s="7" customFormat="1" x14ac:dyDescent="0.3">
      <c r="A328" s="118"/>
      <c r="B328" s="31"/>
      <c r="C328" s="31"/>
      <c r="D328" s="6"/>
      <c r="E328" s="6"/>
      <c r="F328" s="6"/>
      <c r="G328" s="118"/>
      <c r="H328" s="118"/>
      <c r="I328" s="118"/>
      <c r="J328" s="118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28"/>
      <c r="Z328" s="4"/>
      <c r="AA328" s="4"/>
      <c r="AB328" s="4"/>
      <c r="AC328" s="4"/>
      <c r="AD328" s="4"/>
      <c r="AE328" s="4"/>
      <c r="AF328" s="4"/>
      <c r="AG328" s="4"/>
      <c r="AH328" s="4"/>
    </row>
    <row r="329" spans="1:34" s="7" customFormat="1" x14ac:dyDescent="0.3">
      <c r="A329" s="118"/>
      <c r="B329" s="31"/>
      <c r="C329" s="31"/>
      <c r="D329" s="6"/>
      <c r="E329" s="6"/>
      <c r="F329" s="6"/>
      <c r="G329" s="118"/>
      <c r="H329" s="118"/>
      <c r="I329" s="118"/>
      <c r="J329" s="118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28"/>
      <c r="Z329" s="4"/>
      <c r="AA329" s="4"/>
      <c r="AB329" s="4"/>
      <c r="AC329" s="4"/>
      <c r="AD329" s="4"/>
      <c r="AE329" s="4"/>
      <c r="AF329" s="4"/>
      <c r="AG329" s="4"/>
      <c r="AH329" s="4"/>
    </row>
    <row r="330" spans="1:34" s="7" customFormat="1" x14ac:dyDescent="0.3">
      <c r="A330" s="118"/>
      <c r="B330" s="31"/>
      <c r="C330" s="31"/>
      <c r="D330" s="6"/>
      <c r="E330" s="6"/>
      <c r="F330" s="6"/>
      <c r="G330" s="118"/>
      <c r="H330" s="118"/>
      <c r="I330" s="118"/>
      <c r="J330" s="118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28"/>
      <c r="Z330" s="4"/>
      <c r="AA330" s="4"/>
      <c r="AB330" s="4"/>
      <c r="AC330" s="4"/>
      <c r="AD330" s="4"/>
      <c r="AE330" s="4"/>
      <c r="AF330" s="4"/>
      <c r="AG330" s="4"/>
      <c r="AH330" s="4"/>
    </row>
    <row r="331" spans="1:34" s="7" customFormat="1" x14ac:dyDescent="0.3">
      <c r="A331" s="118"/>
      <c r="B331" s="31"/>
      <c r="C331" s="31"/>
      <c r="D331" s="6"/>
      <c r="E331" s="6"/>
      <c r="F331" s="6"/>
      <c r="G331" s="118"/>
      <c r="H331" s="118"/>
      <c r="I331" s="118"/>
      <c r="J331" s="118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28"/>
      <c r="Z331" s="4"/>
      <c r="AA331" s="4"/>
      <c r="AB331" s="4"/>
      <c r="AC331" s="4"/>
      <c r="AD331" s="4"/>
      <c r="AE331" s="4"/>
      <c r="AF331" s="4"/>
      <c r="AG331" s="4"/>
      <c r="AH331" s="4"/>
    </row>
    <row r="332" spans="1:34" s="7" customFormat="1" x14ac:dyDescent="0.3">
      <c r="A332" s="118"/>
      <c r="B332" s="31"/>
      <c r="C332" s="31"/>
      <c r="D332" s="6"/>
      <c r="E332" s="6"/>
      <c r="F332" s="6"/>
      <c r="G332" s="118"/>
      <c r="H332" s="118"/>
      <c r="I332" s="118"/>
      <c r="J332" s="118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28"/>
      <c r="Z332" s="4"/>
      <c r="AA332" s="4"/>
      <c r="AB332" s="4"/>
      <c r="AC332" s="4"/>
      <c r="AD332" s="4"/>
      <c r="AE332" s="4"/>
      <c r="AF332" s="4"/>
      <c r="AG332" s="4"/>
      <c r="AH332" s="4"/>
    </row>
    <row r="333" spans="1:34" s="7" customFormat="1" x14ac:dyDescent="0.3">
      <c r="A333" s="118"/>
      <c r="B333" s="31"/>
      <c r="C333" s="31"/>
      <c r="D333" s="6"/>
      <c r="E333" s="6"/>
      <c r="F333" s="6"/>
      <c r="G333" s="118"/>
      <c r="H333" s="118"/>
      <c r="I333" s="118"/>
      <c r="J333" s="118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28"/>
      <c r="Z333" s="4"/>
      <c r="AA333" s="4"/>
      <c r="AB333" s="4"/>
      <c r="AC333" s="4"/>
      <c r="AD333" s="4"/>
      <c r="AE333" s="4"/>
      <c r="AF333" s="4"/>
      <c r="AG333" s="4"/>
      <c r="AH333" s="4"/>
    </row>
    <row r="334" spans="1:34" s="7" customFormat="1" x14ac:dyDescent="0.3">
      <c r="A334" s="118"/>
      <c r="B334" s="31"/>
      <c r="C334" s="31"/>
      <c r="D334" s="6"/>
      <c r="E334" s="6"/>
      <c r="F334" s="6"/>
      <c r="G334" s="118"/>
      <c r="H334" s="118"/>
      <c r="I334" s="118"/>
      <c r="J334" s="118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28"/>
      <c r="Z334" s="4"/>
      <c r="AA334" s="4"/>
      <c r="AB334" s="4"/>
      <c r="AC334" s="4"/>
      <c r="AD334" s="4"/>
      <c r="AE334" s="4"/>
      <c r="AF334" s="4"/>
      <c r="AG334" s="4"/>
      <c r="AH334" s="4"/>
    </row>
    <row r="335" spans="1:34" s="7" customFormat="1" x14ac:dyDescent="0.3">
      <c r="A335" s="118"/>
      <c r="B335" s="31"/>
      <c r="C335" s="31"/>
      <c r="D335" s="6"/>
      <c r="E335" s="6"/>
      <c r="F335" s="6"/>
      <c r="G335" s="118"/>
      <c r="H335" s="118"/>
      <c r="I335" s="118"/>
      <c r="J335" s="118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28"/>
      <c r="Z335" s="4"/>
      <c r="AA335" s="4"/>
      <c r="AB335" s="4"/>
      <c r="AC335" s="4"/>
      <c r="AD335" s="4"/>
      <c r="AE335" s="4"/>
      <c r="AF335" s="4"/>
      <c r="AG335" s="4"/>
      <c r="AH335" s="4"/>
    </row>
    <row r="336" spans="1:34" s="7" customFormat="1" x14ac:dyDescent="0.3">
      <c r="A336" s="118"/>
      <c r="B336" s="31"/>
      <c r="C336" s="31"/>
      <c r="D336" s="6"/>
      <c r="E336" s="6"/>
      <c r="F336" s="6"/>
      <c r="G336" s="118"/>
      <c r="H336" s="118"/>
      <c r="I336" s="118"/>
      <c r="J336" s="118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28"/>
      <c r="Z336" s="4"/>
      <c r="AA336" s="4"/>
      <c r="AB336" s="4"/>
      <c r="AC336" s="4"/>
      <c r="AD336" s="4"/>
      <c r="AE336" s="4"/>
      <c r="AF336" s="4"/>
      <c r="AG336" s="4"/>
      <c r="AH336" s="4"/>
    </row>
    <row r="337" spans="1:34" s="7" customFormat="1" x14ac:dyDescent="0.3">
      <c r="A337" s="118"/>
      <c r="B337" s="31"/>
      <c r="C337" s="31"/>
      <c r="D337" s="6"/>
      <c r="E337" s="6"/>
      <c r="F337" s="6"/>
      <c r="G337" s="118"/>
      <c r="H337" s="118"/>
      <c r="I337" s="118"/>
      <c r="J337" s="118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28"/>
      <c r="Z337" s="4"/>
      <c r="AA337" s="4"/>
      <c r="AB337" s="4"/>
      <c r="AC337" s="4"/>
      <c r="AD337" s="4"/>
      <c r="AE337" s="4"/>
      <c r="AF337" s="4"/>
      <c r="AG337" s="4"/>
      <c r="AH337" s="4"/>
    </row>
    <row r="338" spans="1:34" s="7" customFormat="1" x14ac:dyDescent="0.3">
      <c r="A338" s="118"/>
      <c r="B338" s="31"/>
      <c r="C338" s="31"/>
      <c r="D338" s="6"/>
      <c r="E338" s="6"/>
      <c r="F338" s="6"/>
      <c r="G338" s="118"/>
      <c r="H338" s="118"/>
      <c r="I338" s="118"/>
      <c r="J338" s="118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28"/>
      <c r="Z338" s="4"/>
      <c r="AA338" s="4"/>
      <c r="AB338" s="4"/>
      <c r="AC338" s="4"/>
      <c r="AD338" s="4"/>
      <c r="AE338" s="4"/>
      <c r="AF338" s="4"/>
      <c r="AG338" s="4"/>
      <c r="AH338" s="4"/>
    </row>
    <row r="339" spans="1:34" s="7" customFormat="1" x14ac:dyDescent="0.3">
      <c r="A339" s="118"/>
      <c r="B339" s="31"/>
      <c r="C339" s="31"/>
      <c r="D339" s="6"/>
      <c r="E339" s="6"/>
      <c r="F339" s="6"/>
      <c r="G339" s="118"/>
      <c r="H339" s="118"/>
      <c r="I339" s="118"/>
      <c r="J339" s="118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28"/>
      <c r="Z339" s="4"/>
      <c r="AA339" s="4"/>
      <c r="AB339" s="4"/>
      <c r="AC339" s="4"/>
      <c r="AD339" s="4"/>
      <c r="AE339" s="4"/>
      <c r="AF339" s="4"/>
      <c r="AG339" s="4"/>
      <c r="AH339" s="4"/>
    </row>
    <row r="340" spans="1:34" s="7" customFormat="1" x14ac:dyDescent="0.3">
      <c r="A340" s="118"/>
      <c r="B340" s="31"/>
      <c r="C340" s="31"/>
      <c r="D340" s="6"/>
      <c r="E340" s="6"/>
      <c r="F340" s="6"/>
      <c r="G340" s="118"/>
      <c r="H340" s="118"/>
      <c r="I340" s="118"/>
      <c r="J340" s="118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28"/>
      <c r="Z340" s="4"/>
      <c r="AA340" s="4"/>
      <c r="AB340" s="4"/>
      <c r="AC340" s="4"/>
      <c r="AD340" s="4"/>
      <c r="AE340" s="4"/>
      <c r="AF340" s="4"/>
      <c r="AG340" s="4"/>
      <c r="AH340" s="4"/>
    </row>
    <row r="341" spans="1:34" s="7" customFormat="1" x14ac:dyDescent="0.3">
      <c r="A341" s="118"/>
      <c r="B341" s="31"/>
      <c r="C341" s="31"/>
      <c r="D341" s="6"/>
      <c r="E341" s="6"/>
      <c r="F341" s="6"/>
      <c r="G341" s="118"/>
      <c r="H341" s="118"/>
      <c r="I341" s="118"/>
      <c r="J341" s="118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28"/>
      <c r="Z341" s="4"/>
      <c r="AA341" s="4"/>
      <c r="AB341" s="4"/>
      <c r="AC341" s="4"/>
      <c r="AD341" s="4"/>
      <c r="AE341" s="4"/>
      <c r="AF341" s="4"/>
      <c r="AG341" s="4"/>
      <c r="AH341" s="4"/>
    </row>
    <row r="342" spans="1:34" s="7" customFormat="1" x14ac:dyDescent="0.3">
      <c r="A342" s="118"/>
      <c r="B342" s="31"/>
      <c r="C342" s="31"/>
      <c r="D342" s="6"/>
      <c r="E342" s="6"/>
      <c r="F342" s="6"/>
      <c r="G342" s="118"/>
      <c r="H342" s="118"/>
      <c r="I342" s="118"/>
      <c r="J342" s="118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28"/>
      <c r="Z342" s="4"/>
      <c r="AA342" s="4"/>
      <c r="AB342" s="4"/>
      <c r="AC342" s="4"/>
      <c r="AD342" s="4"/>
      <c r="AE342" s="4"/>
      <c r="AF342" s="4"/>
      <c r="AG342" s="4"/>
      <c r="AH342" s="4"/>
    </row>
    <row r="343" spans="1:34" s="7" customFormat="1" x14ac:dyDescent="0.3">
      <c r="A343" s="118"/>
      <c r="B343" s="31"/>
      <c r="C343" s="31"/>
      <c r="D343" s="6"/>
      <c r="E343" s="6"/>
      <c r="F343" s="6"/>
      <c r="G343" s="118"/>
      <c r="H343" s="118"/>
      <c r="I343" s="118"/>
      <c r="J343" s="118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28"/>
      <c r="Z343" s="4"/>
      <c r="AA343" s="4"/>
      <c r="AB343" s="4"/>
      <c r="AC343" s="4"/>
      <c r="AD343" s="4"/>
      <c r="AE343" s="4"/>
      <c r="AF343" s="4"/>
      <c r="AG343" s="4"/>
      <c r="AH343" s="4"/>
    </row>
    <row r="344" spans="1:34" s="7" customFormat="1" x14ac:dyDescent="0.3">
      <c r="A344" s="118"/>
      <c r="B344" s="31"/>
      <c r="C344" s="31"/>
      <c r="D344" s="6"/>
      <c r="E344" s="6"/>
      <c r="F344" s="6"/>
      <c r="G344" s="118"/>
      <c r="H344" s="118"/>
      <c r="I344" s="118"/>
      <c r="J344" s="118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28"/>
      <c r="Z344" s="4"/>
      <c r="AA344" s="4"/>
      <c r="AB344" s="4"/>
      <c r="AC344" s="4"/>
      <c r="AD344" s="4"/>
      <c r="AE344" s="4"/>
      <c r="AF344" s="4"/>
      <c r="AG344" s="4"/>
      <c r="AH344" s="4"/>
    </row>
    <row r="345" spans="1:34" s="7" customFormat="1" x14ac:dyDescent="0.3">
      <c r="A345" s="118"/>
      <c r="B345" s="31"/>
      <c r="C345" s="31"/>
      <c r="D345" s="6"/>
      <c r="E345" s="6"/>
      <c r="F345" s="6"/>
      <c r="G345" s="118"/>
      <c r="H345" s="118"/>
      <c r="I345" s="118"/>
      <c r="J345" s="118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28"/>
      <c r="Z345" s="4"/>
      <c r="AA345" s="4"/>
      <c r="AB345" s="4"/>
      <c r="AC345" s="4"/>
      <c r="AD345" s="4"/>
      <c r="AE345" s="4"/>
      <c r="AF345" s="4"/>
      <c r="AG345" s="4"/>
      <c r="AH345" s="4"/>
    </row>
    <row r="346" spans="1:34" s="7" customFormat="1" x14ac:dyDescent="0.3">
      <c r="A346" s="118"/>
      <c r="B346" s="31"/>
      <c r="C346" s="31"/>
      <c r="D346" s="6"/>
      <c r="E346" s="6"/>
      <c r="F346" s="6"/>
      <c r="G346" s="118"/>
      <c r="H346" s="118"/>
      <c r="I346" s="118"/>
      <c r="J346" s="118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28"/>
      <c r="Z346" s="4"/>
      <c r="AA346" s="4"/>
      <c r="AB346" s="4"/>
      <c r="AC346" s="4"/>
      <c r="AD346" s="4"/>
      <c r="AE346" s="4"/>
      <c r="AF346" s="4"/>
      <c r="AG346" s="4"/>
      <c r="AH346" s="4"/>
    </row>
    <row r="347" spans="1:34" s="7" customFormat="1" x14ac:dyDescent="0.3">
      <c r="A347" s="118"/>
      <c r="B347" s="31"/>
      <c r="C347" s="31"/>
      <c r="D347" s="6"/>
      <c r="E347" s="6"/>
      <c r="F347" s="6"/>
      <c r="G347" s="118"/>
      <c r="H347" s="118"/>
      <c r="I347" s="118"/>
      <c r="J347" s="118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28"/>
      <c r="Z347" s="4"/>
      <c r="AA347" s="4"/>
      <c r="AB347" s="4"/>
      <c r="AC347" s="4"/>
      <c r="AD347" s="4"/>
      <c r="AE347" s="4"/>
      <c r="AF347" s="4"/>
      <c r="AG347" s="4"/>
      <c r="AH347" s="4"/>
    </row>
    <row r="348" spans="1:34" s="7" customFormat="1" x14ac:dyDescent="0.3">
      <c r="A348" s="118"/>
      <c r="B348" s="31"/>
      <c r="C348" s="31"/>
      <c r="D348" s="6"/>
      <c r="E348" s="6"/>
      <c r="F348" s="6"/>
      <c r="G348" s="118"/>
      <c r="H348" s="118"/>
      <c r="I348" s="118"/>
      <c r="J348" s="118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28"/>
      <c r="Z348" s="4"/>
      <c r="AA348" s="4"/>
      <c r="AB348" s="4"/>
      <c r="AC348" s="4"/>
      <c r="AD348" s="4"/>
      <c r="AE348" s="4"/>
      <c r="AF348" s="4"/>
      <c r="AG348" s="4"/>
      <c r="AH348" s="4"/>
    </row>
    <row r="349" spans="1:34" s="7" customFormat="1" x14ac:dyDescent="0.3">
      <c r="A349" s="118"/>
      <c r="B349" s="31"/>
      <c r="C349" s="31"/>
      <c r="D349" s="6"/>
      <c r="E349" s="6"/>
      <c r="F349" s="6"/>
      <c r="G349" s="118"/>
      <c r="H349" s="118"/>
      <c r="I349" s="118"/>
      <c r="J349" s="118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28"/>
      <c r="Z349" s="4"/>
      <c r="AA349" s="4"/>
      <c r="AB349" s="4"/>
      <c r="AC349" s="4"/>
      <c r="AD349" s="4"/>
      <c r="AE349" s="4"/>
      <c r="AF349" s="4"/>
      <c r="AG349" s="4"/>
      <c r="AH349" s="4"/>
    </row>
    <row r="350" spans="1:34" s="7" customFormat="1" x14ac:dyDescent="0.3">
      <c r="A350" s="118"/>
      <c r="B350" s="31"/>
      <c r="C350" s="31"/>
      <c r="D350" s="6"/>
      <c r="E350" s="6"/>
      <c r="F350" s="6"/>
      <c r="G350" s="118"/>
      <c r="H350" s="118"/>
      <c r="I350" s="118"/>
      <c r="J350" s="118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28"/>
      <c r="Z350" s="4"/>
      <c r="AA350" s="4"/>
      <c r="AB350" s="4"/>
      <c r="AC350" s="4"/>
      <c r="AD350" s="4"/>
      <c r="AE350" s="4"/>
      <c r="AF350" s="4"/>
      <c r="AG350" s="4"/>
      <c r="AH350" s="4"/>
    </row>
    <row r="351" spans="1:34" s="7" customFormat="1" x14ac:dyDescent="0.3">
      <c r="A351" s="118"/>
      <c r="B351" s="31"/>
      <c r="C351" s="31"/>
      <c r="D351" s="6"/>
      <c r="E351" s="6"/>
      <c r="F351" s="6"/>
      <c r="G351" s="118"/>
      <c r="H351" s="118"/>
      <c r="I351" s="118"/>
      <c r="J351" s="118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28"/>
      <c r="Z351" s="4"/>
      <c r="AA351" s="4"/>
      <c r="AB351" s="4"/>
      <c r="AC351" s="4"/>
      <c r="AD351" s="4"/>
      <c r="AE351" s="4"/>
      <c r="AF351" s="4"/>
      <c r="AG351" s="4"/>
      <c r="AH351" s="4"/>
    </row>
    <row r="352" spans="1:34" s="7" customFormat="1" x14ac:dyDescent="0.3">
      <c r="A352" s="118"/>
      <c r="B352" s="31"/>
      <c r="C352" s="31"/>
      <c r="D352" s="6"/>
      <c r="E352" s="6"/>
      <c r="F352" s="6"/>
      <c r="G352" s="118"/>
      <c r="H352" s="118"/>
      <c r="I352" s="118"/>
      <c r="J352" s="118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28"/>
      <c r="Z352" s="4"/>
      <c r="AA352" s="4"/>
      <c r="AB352" s="4"/>
      <c r="AC352" s="4"/>
      <c r="AD352" s="4"/>
      <c r="AE352" s="4"/>
      <c r="AF352" s="4"/>
      <c r="AG352" s="4"/>
      <c r="AH352" s="4"/>
    </row>
    <row r="353" spans="1:34" s="7" customFormat="1" x14ac:dyDescent="0.3">
      <c r="A353" s="118"/>
      <c r="B353" s="31"/>
      <c r="C353" s="31"/>
      <c r="D353" s="6"/>
      <c r="E353" s="6"/>
      <c r="F353" s="6"/>
      <c r="G353" s="118"/>
      <c r="H353" s="118"/>
      <c r="I353" s="118"/>
      <c r="J353" s="118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28"/>
      <c r="Z353" s="4"/>
      <c r="AA353" s="4"/>
      <c r="AB353" s="4"/>
      <c r="AC353" s="4"/>
      <c r="AD353" s="4"/>
      <c r="AE353" s="4"/>
      <c r="AF353" s="4"/>
      <c r="AG353" s="4"/>
      <c r="AH353" s="4"/>
    </row>
    <row r="354" spans="1:34" s="7" customFormat="1" x14ac:dyDescent="0.3">
      <c r="A354" s="118"/>
      <c r="B354" s="31"/>
      <c r="C354" s="31"/>
      <c r="D354" s="6"/>
      <c r="E354" s="6"/>
      <c r="F354" s="6"/>
      <c r="G354" s="118"/>
      <c r="H354" s="118"/>
      <c r="I354" s="118"/>
      <c r="J354" s="118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28"/>
      <c r="Z354" s="4"/>
      <c r="AA354" s="4"/>
      <c r="AB354" s="4"/>
      <c r="AC354" s="4"/>
      <c r="AD354" s="4"/>
      <c r="AE354" s="4"/>
      <c r="AF354" s="4"/>
      <c r="AG354" s="4"/>
      <c r="AH354" s="4"/>
    </row>
    <row r="355" spans="1:34" s="7" customFormat="1" x14ac:dyDescent="0.3">
      <c r="A355" s="118"/>
      <c r="B355" s="31"/>
      <c r="C355" s="31"/>
      <c r="D355" s="6"/>
      <c r="E355" s="6"/>
      <c r="F355" s="6"/>
      <c r="G355" s="118"/>
      <c r="H355" s="118"/>
      <c r="I355" s="118"/>
      <c r="J355" s="118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28"/>
      <c r="Z355" s="4"/>
      <c r="AA355" s="4"/>
      <c r="AB355" s="4"/>
      <c r="AC355" s="4"/>
      <c r="AD355" s="4"/>
      <c r="AE355" s="4"/>
      <c r="AF355" s="4"/>
      <c r="AG355" s="4"/>
      <c r="AH355" s="4"/>
    </row>
    <row r="356" spans="1:34" s="7" customFormat="1" x14ac:dyDescent="0.3">
      <c r="A356" s="118"/>
      <c r="B356" s="31"/>
      <c r="C356" s="31"/>
      <c r="D356" s="6"/>
      <c r="E356" s="6"/>
      <c r="F356" s="6"/>
      <c r="G356" s="118"/>
      <c r="H356" s="118"/>
      <c r="I356" s="118"/>
      <c r="J356" s="118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28"/>
      <c r="Z356" s="4"/>
      <c r="AA356" s="4"/>
      <c r="AB356" s="4"/>
      <c r="AC356" s="4"/>
      <c r="AD356" s="4"/>
      <c r="AE356" s="4"/>
      <c r="AF356" s="4"/>
      <c r="AG356" s="4"/>
      <c r="AH356" s="4"/>
    </row>
    <row r="357" spans="1:34" s="7" customFormat="1" x14ac:dyDescent="0.3">
      <c r="A357" s="118"/>
      <c r="B357" s="31"/>
      <c r="C357" s="31"/>
      <c r="D357" s="6"/>
      <c r="E357" s="6"/>
      <c r="F357" s="6"/>
      <c r="G357" s="118"/>
      <c r="H357" s="118"/>
      <c r="I357" s="118"/>
      <c r="J357" s="118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28"/>
      <c r="Z357" s="4"/>
      <c r="AA357" s="4"/>
      <c r="AB357" s="4"/>
      <c r="AC357" s="4"/>
      <c r="AD357" s="4"/>
      <c r="AE357" s="4"/>
      <c r="AF357" s="4"/>
      <c r="AG357" s="4"/>
      <c r="AH357" s="4"/>
    </row>
    <row r="358" spans="1:34" s="7" customFormat="1" x14ac:dyDescent="0.3">
      <c r="A358" s="118"/>
      <c r="B358" s="31"/>
      <c r="C358" s="31"/>
      <c r="D358" s="6"/>
      <c r="E358" s="6"/>
      <c r="F358" s="6"/>
      <c r="G358" s="118"/>
      <c r="H358" s="118"/>
      <c r="I358" s="118"/>
      <c r="J358" s="118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28"/>
      <c r="Z358" s="4"/>
      <c r="AA358" s="4"/>
      <c r="AB358" s="4"/>
      <c r="AC358" s="4"/>
      <c r="AD358" s="4"/>
      <c r="AE358" s="4"/>
      <c r="AF358" s="4"/>
      <c r="AG358" s="4"/>
      <c r="AH358" s="4"/>
    </row>
    <row r="359" spans="1:34" s="7" customFormat="1" x14ac:dyDescent="0.3">
      <c r="A359" s="118"/>
      <c r="B359" s="31"/>
      <c r="C359" s="31"/>
      <c r="D359" s="6"/>
      <c r="E359" s="6"/>
      <c r="F359" s="6"/>
      <c r="G359" s="118"/>
      <c r="H359" s="118"/>
      <c r="I359" s="118"/>
      <c r="J359" s="118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28"/>
      <c r="Z359" s="4"/>
      <c r="AA359" s="4"/>
      <c r="AB359" s="4"/>
      <c r="AC359" s="4"/>
      <c r="AD359" s="4"/>
      <c r="AE359" s="4"/>
      <c r="AF359" s="4"/>
      <c r="AG359" s="4"/>
      <c r="AH359" s="4"/>
    </row>
    <row r="360" spans="1:34" s="7" customFormat="1" x14ac:dyDescent="0.3">
      <c r="A360" s="118"/>
      <c r="B360" s="31"/>
      <c r="C360" s="31"/>
      <c r="D360" s="6"/>
      <c r="E360" s="6"/>
      <c r="F360" s="6"/>
      <c r="G360" s="118"/>
      <c r="H360" s="118"/>
      <c r="I360" s="118"/>
      <c r="J360" s="118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28"/>
      <c r="Z360" s="4"/>
      <c r="AA360" s="4"/>
      <c r="AB360" s="4"/>
      <c r="AC360" s="4"/>
      <c r="AD360" s="4"/>
      <c r="AE360" s="4"/>
      <c r="AF360" s="4"/>
      <c r="AG360" s="4"/>
      <c r="AH360" s="4"/>
    </row>
    <row r="361" spans="1:34" s="7" customFormat="1" x14ac:dyDescent="0.3">
      <c r="A361" s="118"/>
      <c r="B361" s="31"/>
      <c r="C361" s="31"/>
      <c r="D361" s="6"/>
      <c r="E361" s="6"/>
      <c r="F361" s="6"/>
      <c r="G361" s="118"/>
      <c r="H361" s="118"/>
      <c r="I361" s="118"/>
      <c r="J361" s="118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28"/>
      <c r="Z361" s="4"/>
      <c r="AA361" s="4"/>
      <c r="AB361" s="4"/>
      <c r="AC361" s="4"/>
      <c r="AD361" s="4"/>
      <c r="AE361" s="4"/>
      <c r="AF361" s="4"/>
      <c r="AG361" s="4"/>
      <c r="AH361" s="4"/>
    </row>
    <row r="362" spans="1:34" s="7" customFormat="1" x14ac:dyDescent="0.3">
      <c r="A362" s="118"/>
      <c r="B362" s="31"/>
      <c r="C362" s="31"/>
      <c r="D362" s="6"/>
      <c r="E362" s="6"/>
      <c r="F362" s="6"/>
      <c r="G362" s="118"/>
      <c r="H362" s="118"/>
      <c r="I362" s="118"/>
      <c r="J362" s="118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28"/>
      <c r="Z362" s="4"/>
      <c r="AA362" s="4"/>
      <c r="AB362" s="4"/>
      <c r="AC362" s="4"/>
      <c r="AD362" s="4"/>
      <c r="AE362" s="4"/>
      <c r="AF362" s="4"/>
      <c r="AG362" s="4"/>
      <c r="AH362" s="4"/>
    </row>
    <row r="363" spans="1:34" s="7" customFormat="1" x14ac:dyDescent="0.3">
      <c r="A363" s="118"/>
      <c r="B363" s="31"/>
      <c r="C363" s="31"/>
      <c r="D363" s="6"/>
      <c r="E363" s="6"/>
      <c r="F363" s="6"/>
      <c r="G363" s="118"/>
      <c r="H363" s="118"/>
      <c r="I363" s="118"/>
      <c r="J363" s="118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28"/>
      <c r="Z363" s="4"/>
      <c r="AA363" s="4"/>
      <c r="AB363" s="4"/>
      <c r="AC363" s="4"/>
      <c r="AD363" s="4"/>
      <c r="AE363" s="4"/>
      <c r="AF363" s="4"/>
      <c r="AG363" s="4"/>
      <c r="AH363" s="4"/>
    </row>
    <row r="364" spans="1:34" s="7" customFormat="1" x14ac:dyDescent="0.3">
      <c r="A364" s="118"/>
      <c r="B364" s="31"/>
      <c r="C364" s="31"/>
      <c r="D364" s="6"/>
      <c r="E364" s="6"/>
      <c r="F364" s="6"/>
      <c r="G364" s="118"/>
      <c r="H364" s="118"/>
      <c r="I364" s="118"/>
      <c r="J364" s="118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28"/>
      <c r="Z364" s="4"/>
      <c r="AA364" s="4"/>
      <c r="AB364" s="4"/>
      <c r="AC364" s="4"/>
      <c r="AD364" s="4"/>
      <c r="AE364" s="4"/>
      <c r="AF364" s="4"/>
      <c r="AG364" s="4"/>
      <c r="AH364" s="4"/>
    </row>
    <row r="365" spans="1:34" s="7" customFormat="1" x14ac:dyDescent="0.3">
      <c r="A365" s="118"/>
      <c r="B365" s="31"/>
      <c r="C365" s="31"/>
      <c r="D365" s="6"/>
      <c r="E365" s="6"/>
      <c r="F365" s="6"/>
      <c r="G365" s="118"/>
      <c r="H365" s="118"/>
      <c r="I365" s="118"/>
      <c r="J365" s="118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28"/>
      <c r="Z365" s="4"/>
      <c r="AA365" s="4"/>
      <c r="AB365" s="4"/>
      <c r="AC365" s="4"/>
      <c r="AD365" s="4"/>
      <c r="AE365" s="4"/>
      <c r="AF365" s="4"/>
      <c r="AG365" s="4"/>
      <c r="AH365" s="4"/>
    </row>
    <row r="366" spans="1:34" s="7" customFormat="1" x14ac:dyDescent="0.3">
      <c r="A366" s="118"/>
      <c r="B366" s="31"/>
      <c r="C366" s="31"/>
      <c r="D366" s="6"/>
      <c r="E366" s="6"/>
      <c r="F366" s="6"/>
      <c r="G366" s="118"/>
      <c r="H366" s="118"/>
      <c r="I366" s="118"/>
      <c r="J366" s="118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28"/>
      <c r="Z366" s="4"/>
      <c r="AA366" s="4"/>
      <c r="AB366" s="4"/>
      <c r="AC366" s="4"/>
      <c r="AD366" s="4"/>
      <c r="AE366" s="4"/>
      <c r="AF366" s="4"/>
      <c r="AG366" s="4"/>
      <c r="AH366" s="4"/>
    </row>
    <row r="367" spans="1:34" s="7" customFormat="1" x14ac:dyDescent="0.3">
      <c r="A367" s="118"/>
      <c r="B367" s="31"/>
      <c r="C367" s="31"/>
      <c r="D367" s="6"/>
      <c r="E367" s="6"/>
      <c r="F367" s="6"/>
      <c r="G367" s="118"/>
      <c r="H367" s="118"/>
      <c r="I367" s="118"/>
      <c r="J367" s="118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28"/>
      <c r="Z367" s="4"/>
      <c r="AA367" s="4"/>
      <c r="AB367" s="4"/>
      <c r="AC367" s="4"/>
      <c r="AD367" s="4"/>
      <c r="AE367" s="4"/>
      <c r="AF367" s="4"/>
      <c r="AG367" s="4"/>
      <c r="AH367" s="4"/>
    </row>
    <row r="368" spans="1:34" s="7" customFormat="1" x14ac:dyDescent="0.3">
      <c r="A368" s="118"/>
      <c r="B368" s="31"/>
      <c r="C368" s="31"/>
      <c r="D368" s="6"/>
      <c r="E368" s="6"/>
      <c r="F368" s="6"/>
      <c r="G368" s="118"/>
      <c r="H368" s="118"/>
      <c r="I368" s="118"/>
      <c r="J368" s="118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28"/>
      <c r="Z368" s="4"/>
      <c r="AA368" s="4"/>
      <c r="AB368" s="4"/>
      <c r="AC368" s="4"/>
      <c r="AD368" s="4"/>
      <c r="AE368" s="4"/>
      <c r="AF368" s="4"/>
      <c r="AG368" s="4"/>
      <c r="AH368" s="4"/>
    </row>
    <row r="369" spans="1:34" s="7" customFormat="1" x14ac:dyDescent="0.3">
      <c r="A369" s="118"/>
      <c r="B369" s="31"/>
      <c r="C369" s="31"/>
      <c r="D369" s="6"/>
      <c r="E369" s="6"/>
      <c r="F369" s="6"/>
      <c r="G369" s="118"/>
      <c r="H369" s="118"/>
      <c r="I369" s="118"/>
      <c r="J369" s="118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28"/>
      <c r="Z369" s="4"/>
      <c r="AA369" s="4"/>
      <c r="AB369" s="4"/>
      <c r="AC369" s="4"/>
      <c r="AD369" s="4"/>
      <c r="AE369" s="4"/>
      <c r="AF369" s="4"/>
      <c r="AG369" s="4"/>
      <c r="AH369" s="4"/>
    </row>
    <row r="370" spans="1:34" s="7" customFormat="1" x14ac:dyDescent="0.3">
      <c r="A370" s="118"/>
      <c r="B370" s="31"/>
      <c r="C370" s="31"/>
      <c r="D370" s="6"/>
      <c r="E370" s="6"/>
      <c r="F370" s="6"/>
      <c r="G370" s="118"/>
      <c r="H370" s="118"/>
      <c r="I370" s="118"/>
      <c r="J370" s="118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28"/>
      <c r="Z370" s="4"/>
      <c r="AA370" s="4"/>
      <c r="AB370" s="4"/>
      <c r="AC370" s="4"/>
      <c r="AD370" s="4"/>
      <c r="AE370" s="4"/>
      <c r="AF370" s="4"/>
      <c r="AG370" s="4"/>
      <c r="AH370" s="4"/>
    </row>
    <row r="371" spans="1:34" s="7" customFormat="1" x14ac:dyDescent="0.3">
      <c r="A371" s="118"/>
      <c r="B371" s="31"/>
      <c r="C371" s="31"/>
      <c r="D371" s="6"/>
      <c r="E371" s="6"/>
      <c r="F371" s="6"/>
      <c r="G371" s="118"/>
      <c r="H371" s="118"/>
      <c r="I371" s="118"/>
      <c r="J371" s="118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28"/>
      <c r="Z371" s="4"/>
      <c r="AA371" s="4"/>
      <c r="AB371" s="4"/>
      <c r="AC371" s="4"/>
      <c r="AD371" s="4"/>
      <c r="AE371" s="4"/>
      <c r="AF371" s="4"/>
      <c r="AG371" s="4"/>
      <c r="AH371" s="4"/>
    </row>
    <row r="372" spans="1:34" s="7" customFormat="1" x14ac:dyDescent="0.3">
      <c r="A372" s="118"/>
      <c r="B372" s="31"/>
      <c r="C372" s="31"/>
      <c r="D372" s="6"/>
      <c r="E372" s="6"/>
      <c r="F372" s="6"/>
      <c r="G372" s="118"/>
      <c r="H372" s="118"/>
      <c r="I372" s="118"/>
      <c r="J372" s="118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28"/>
      <c r="Z372" s="4"/>
      <c r="AA372" s="4"/>
      <c r="AB372" s="4"/>
      <c r="AC372" s="4"/>
      <c r="AD372" s="4"/>
      <c r="AE372" s="4"/>
      <c r="AF372" s="4"/>
      <c r="AG372" s="4"/>
      <c r="AH372" s="4"/>
    </row>
    <row r="373" spans="1:34" s="7" customFormat="1" x14ac:dyDescent="0.3">
      <c r="A373" s="118"/>
      <c r="B373" s="31"/>
      <c r="C373" s="31"/>
      <c r="D373" s="6"/>
      <c r="E373" s="6"/>
      <c r="F373" s="6"/>
      <c r="G373" s="118"/>
      <c r="H373" s="118"/>
      <c r="I373" s="118"/>
      <c r="J373" s="118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28"/>
      <c r="Z373" s="4"/>
      <c r="AA373" s="4"/>
      <c r="AB373" s="4"/>
      <c r="AC373" s="4"/>
      <c r="AD373" s="4"/>
      <c r="AE373" s="4"/>
      <c r="AF373" s="4"/>
      <c r="AG373" s="4"/>
      <c r="AH373" s="4"/>
    </row>
    <row r="374" spans="1:34" s="7" customFormat="1" x14ac:dyDescent="0.3">
      <c r="A374" s="118"/>
      <c r="B374" s="31"/>
      <c r="C374" s="31"/>
      <c r="D374" s="6"/>
      <c r="E374" s="6"/>
      <c r="F374" s="6"/>
      <c r="G374" s="118"/>
      <c r="H374" s="118"/>
      <c r="I374" s="118"/>
      <c r="J374" s="118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28"/>
      <c r="Z374" s="4"/>
      <c r="AA374" s="4"/>
      <c r="AB374" s="4"/>
      <c r="AC374" s="4"/>
      <c r="AD374" s="4"/>
      <c r="AE374" s="4"/>
      <c r="AF374" s="4"/>
      <c r="AG374" s="4"/>
      <c r="AH374" s="4"/>
    </row>
    <row r="375" spans="1:34" s="7" customFormat="1" x14ac:dyDescent="0.3">
      <c r="A375" s="118"/>
      <c r="B375" s="31"/>
      <c r="C375" s="31"/>
      <c r="D375" s="6"/>
      <c r="E375" s="6"/>
      <c r="F375" s="6"/>
      <c r="G375" s="118"/>
      <c r="H375" s="118"/>
      <c r="I375" s="118"/>
      <c r="J375" s="118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28"/>
      <c r="Z375" s="4"/>
      <c r="AA375" s="4"/>
      <c r="AB375" s="4"/>
      <c r="AC375" s="4"/>
      <c r="AD375" s="4"/>
      <c r="AE375" s="4"/>
      <c r="AF375" s="4"/>
      <c r="AG375" s="4"/>
      <c r="AH375" s="4"/>
    </row>
    <row r="376" spans="1:34" s="7" customFormat="1" x14ac:dyDescent="0.3">
      <c r="A376" s="118"/>
      <c r="B376" s="31"/>
      <c r="C376" s="31"/>
      <c r="D376" s="6"/>
      <c r="E376" s="6"/>
      <c r="F376" s="6"/>
      <c r="G376" s="118"/>
      <c r="H376" s="118"/>
      <c r="I376" s="118"/>
      <c r="J376" s="118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28"/>
      <c r="Z376" s="4"/>
      <c r="AA376" s="4"/>
      <c r="AB376" s="4"/>
      <c r="AC376" s="4"/>
      <c r="AD376" s="4"/>
      <c r="AE376" s="4"/>
      <c r="AF376" s="4"/>
      <c r="AG376" s="4"/>
      <c r="AH376" s="4"/>
    </row>
    <row r="377" spans="1:34" s="7" customFormat="1" x14ac:dyDescent="0.3">
      <c r="A377" s="118"/>
      <c r="B377" s="31"/>
      <c r="C377" s="31"/>
      <c r="D377" s="6"/>
      <c r="E377" s="6"/>
      <c r="F377" s="6"/>
      <c r="G377" s="118"/>
      <c r="H377" s="118"/>
      <c r="I377" s="118"/>
      <c r="J377" s="118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28"/>
      <c r="Z377" s="4"/>
      <c r="AA377" s="4"/>
      <c r="AB377" s="4"/>
      <c r="AC377" s="4"/>
      <c r="AD377" s="4"/>
      <c r="AE377" s="4"/>
      <c r="AF377" s="4"/>
      <c r="AG377" s="4"/>
      <c r="AH377" s="4"/>
    </row>
    <row r="378" spans="1:34" s="7" customFormat="1" x14ac:dyDescent="0.3">
      <c r="A378" s="118"/>
      <c r="B378" s="31"/>
      <c r="C378" s="31"/>
      <c r="D378" s="6"/>
      <c r="E378" s="6"/>
      <c r="F378" s="6"/>
      <c r="G378" s="118"/>
      <c r="H378" s="118"/>
      <c r="I378" s="118"/>
      <c r="J378" s="118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28"/>
      <c r="Z378" s="4"/>
      <c r="AA378" s="4"/>
      <c r="AB378" s="4"/>
      <c r="AC378" s="4"/>
      <c r="AD378" s="4"/>
      <c r="AE378" s="4"/>
      <c r="AF378" s="4"/>
      <c r="AG378" s="4"/>
      <c r="AH378" s="4"/>
    </row>
    <row r="379" spans="1:34" s="7" customFormat="1" x14ac:dyDescent="0.3">
      <c r="A379" s="118"/>
      <c r="B379" s="31"/>
      <c r="C379" s="31"/>
      <c r="D379" s="6"/>
      <c r="E379" s="6"/>
      <c r="F379" s="6"/>
      <c r="G379" s="118"/>
      <c r="H379" s="118"/>
      <c r="I379" s="118"/>
      <c r="J379" s="118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28"/>
      <c r="Z379" s="4"/>
      <c r="AA379" s="4"/>
      <c r="AB379" s="4"/>
      <c r="AC379" s="4"/>
      <c r="AD379" s="4"/>
      <c r="AE379" s="4"/>
      <c r="AF379" s="4"/>
      <c r="AG379" s="4"/>
      <c r="AH379" s="4"/>
    </row>
    <row r="380" spans="1:34" s="7" customFormat="1" x14ac:dyDescent="0.3">
      <c r="A380" s="118"/>
      <c r="B380" s="31"/>
      <c r="C380" s="31"/>
      <c r="D380" s="6"/>
      <c r="E380" s="6"/>
      <c r="F380" s="6"/>
      <c r="G380" s="118"/>
      <c r="H380" s="118"/>
      <c r="I380" s="118"/>
      <c r="J380" s="118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28"/>
      <c r="Z380" s="4"/>
      <c r="AA380" s="4"/>
      <c r="AB380" s="4"/>
      <c r="AC380" s="4"/>
      <c r="AD380" s="4"/>
      <c r="AE380" s="4"/>
      <c r="AF380" s="4"/>
      <c r="AG380" s="4"/>
      <c r="AH380" s="4"/>
    </row>
    <row r="381" spans="1:34" s="7" customFormat="1" x14ac:dyDescent="0.3">
      <c r="A381" s="118"/>
      <c r="B381" s="31"/>
      <c r="C381" s="31"/>
      <c r="D381" s="6"/>
      <c r="E381" s="6"/>
      <c r="F381" s="6"/>
      <c r="G381" s="118"/>
      <c r="H381" s="118"/>
      <c r="I381" s="118"/>
      <c r="J381" s="118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28"/>
      <c r="Z381" s="4"/>
      <c r="AA381" s="4"/>
      <c r="AB381" s="4"/>
      <c r="AC381" s="4"/>
      <c r="AD381" s="4"/>
      <c r="AE381" s="4"/>
      <c r="AF381" s="4"/>
      <c r="AG381" s="4"/>
      <c r="AH381" s="4"/>
    </row>
    <row r="382" spans="1:34" s="7" customFormat="1" x14ac:dyDescent="0.3">
      <c r="A382" s="118"/>
      <c r="B382" s="31"/>
      <c r="C382" s="31"/>
      <c r="D382" s="6"/>
      <c r="E382" s="6"/>
      <c r="F382" s="6"/>
      <c r="G382" s="118"/>
      <c r="H382" s="118"/>
      <c r="I382" s="118"/>
      <c r="J382" s="118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28"/>
      <c r="Z382" s="4"/>
      <c r="AA382" s="4"/>
      <c r="AB382" s="4"/>
      <c r="AC382" s="4"/>
      <c r="AD382" s="4"/>
      <c r="AE382" s="4"/>
      <c r="AF382" s="4"/>
      <c r="AG382" s="4"/>
      <c r="AH382" s="4"/>
    </row>
    <row r="383" spans="1:34" s="7" customFormat="1" x14ac:dyDescent="0.3">
      <c r="A383" s="118"/>
      <c r="B383" s="31"/>
      <c r="C383" s="31"/>
      <c r="D383" s="6"/>
      <c r="E383" s="6"/>
      <c r="F383" s="6"/>
      <c r="G383" s="118"/>
      <c r="H383" s="118"/>
      <c r="I383" s="118"/>
      <c r="J383" s="118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28"/>
      <c r="Z383" s="4"/>
      <c r="AA383" s="4"/>
      <c r="AB383" s="4"/>
      <c r="AC383" s="4"/>
      <c r="AD383" s="4"/>
      <c r="AE383" s="4"/>
      <c r="AF383" s="4"/>
      <c r="AG383" s="4"/>
      <c r="AH383" s="4"/>
    </row>
    <row r="384" spans="1:34" x14ac:dyDescent="0.3">
      <c r="A384" s="118"/>
      <c r="B384" s="31"/>
      <c r="C384" s="31"/>
      <c r="D384" s="6"/>
      <c r="E384" s="6"/>
      <c r="F384" s="6"/>
      <c r="G384" s="118"/>
      <c r="H384" s="118"/>
      <c r="I384" s="118"/>
      <c r="J384" s="118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28"/>
    </row>
    <row r="385" spans="1:34" x14ac:dyDescent="0.3">
      <c r="A385" s="118"/>
      <c r="B385" s="31"/>
      <c r="C385" s="31"/>
      <c r="D385" s="6"/>
      <c r="E385" s="6"/>
      <c r="F385" s="6"/>
      <c r="G385" s="118"/>
      <c r="H385" s="118"/>
      <c r="I385" s="118"/>
      <c r="J385" s="118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28"/>
    </row>
    <row r="386" spans="1:34" x14ac:dyDescent="0.3">
      <c r="A386" s="118"/>
      <c r="B386" s="31"/>
      <c r="C386" s="31"/>
      <c r="D386" s="6"/>
      <c r="E386" s="6"/>
      <c r="F386" s="6"/>
      <c r="G386" s="118"/>
      <c r="H386" s="118"/>
      <c r="I386" s="118"/>
      <c r="J386" s="118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28"/>
    </row>
    <row r="387" spans="1:34" x14ac:dyDescent="0.3">
      <c r="A387" s="118"/>
      <c r="B387" s="31"/>
      <c r="C387" s="31"/>
      <c r="D387" s="6"/>
      <c r="E387" s="6"/>
      <c r="F387" s="6"/>
      <c r="G387" s="118"/>
      <c r="H387" s="118"/>
      <c r="I387" s="118"/>
      <c r="J387" s="118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28"/>
    </row>
    <row r="388" spans="1:34" x14ac:dyDescent="0.3">
      <c r="A388" s="118"/>
      <c r="B388" s="31"/>
      <c r="C388" s="31"/>
      <c r="D388" s="6"/>
      <c r="E388" s="6"/>
      <c r="F388" s="6"/>
      <c r="G388" s="118"/>
      <c r="H388" s="118"/>
      <c r="I388" s="118"/>
      <c r="J388" s="118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28"/>
    </row>
    <row r="389" spans="1:34" x14ac:dyDescent="0.3">
      <c r="A389" s="118"/>
      <c r="B389" s="31"/>
      <c r="C389" s="31"/>
      <c r="D389" s="6"/>
      <c r="E389" s="6"/>
      <c r="F389" s="6"/>
      <c r="G389" s="118"/>
      <c r="H389" s="118"/>
      <c r="I389" s="118"/>
      <c r="J389" s="118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28"/>
    </row>
    <row r="390" spans="1:34" x14ac:dyDescent="0.3">
      <c r="A390" s="118"/>
      <c r="B390" s="31"/>
      <c r="C390" s="31"/>
      <c r="D390" s="6"/>
      <c r="E390" s="6"/>
      <c r="F390" s="6"/>
      <c r="G390" s="118"/>
      <c r="H390" s="118"/>
      <c r="I390" s="118"/>
      <c r="J390" s="118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28"/>
    </row>
    <row r="391" spans="1:34" x14ac:dyDescent="0.3">
      <c r="A391" s="118"/>
      <c r="B391" s="31"/>
      <c r="C391" s="31"/>
      <c r="D391" s="6"/>
      <c r="E391" s="6"/>
      <c r="F391" s="6"/>
      <c r="G391" s="118"/>
      <c r="H391" s="118"/>
      <c r="I391" s="118"/>
      <c r="J391" s="118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28"/>
    </row>
    <row r="392" spans="1:34" x14ac:dyDescent="0.3">
      <c r="A392" s="118"/>
      <c r="B392" s="31"/>
      <c r="C392" s="31"/>
      <c r="D392" s="6"/>
      <c r="E392" s="6"/>
      <c r="F392" s="6"/>
      <c r="G392" s="118"/>
      <c r="H392" s="118"/>
      <c r="I392" s="118"/>
      <c r="J392" s="118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28"/>
    </row>
    <row r="393" spans="1:34" x14ac:dyDescent="0.3">
      <c r="A393" s="118"/>
      <c r="B393" s="31"/>
      <c r="C393" s="31"/>
      <c r="D393" s="6"/>
      <c r="E393" s="6"/>
      <c r="F393" s="6"/>
      <c r="G393" s="118"/>
      <c r="H393" s="118"/>
      <c r="I393" s="118"/>
      <c r="J393" s="118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28"/>
    </row>
    <row r="394" spans="1:34" x14ac:dyDescent="0.3">
      <c r="A394" s="118"/>
      <c r="B394" s="31"/>
      <c r="C394" s="31"/>
      <c r="D394" s="6"/>
      <c r="E394" s="6"/>
      <c r="F394" s="6"/>
      <c r="G394" s="118"/>
      <c r="H394" s="118"/>
      <c r="I394" s="118"/>
      <c r="J394" s="118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28"/>
    </row>
    <row r="395" spans="1:34" x14ac:dyDescent="0.3">
      <c r="A395" s="118"/>
      <c r="B395" s="31"/>
      <c r="C395" s="31"/>
      <c r="D395" s="6"/>
      <c r="E395" s="6"/>
      <c r="F395" s="6"/>
      <c r="G395" s="118"/>
      <c r="H395" s="118"/>
      <c r="I395" s="118"/>
      <c r="J395" s="118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28"/>
    </row>
    <row r="396" spans="1:34" x14ac:dyDescent="0.3">
      <c r="A396" s="118"/>
      <c r="B396" s="31"/>
      <c r="C396" s="31"/>
      <c r="D396" s="6"/>
      <c r="E396" s="6"/>
      <c r="F396" s="6"/>
      <c r="G396" s="118"/>
      <c r="H396" s="118"/>
      <c r="I396" s="118"/>
      <c r="J396" s="118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28"/>
    </row>
    <row r="397" spans="1:34" x14ac:dyDescent="0.3">
      <c r="A397" s="118"/>
      <c r="B397" s="31"/>
      <c r="C397" s="31"/>
      <c r="D397" s="6"/>
      <c r="G397" s="118"/>
      <c r="H397" s="118"/>
      <c r="I397" s="118"/>
      <c r="J397" s="118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28"/>
    </row>
    <row r="398" spans="1:34" x14ac:dyDescent="0.3">
      <c r="Z398" s="5"/>
      <c r="AA398" s="5"/>
      <c r="AB398" s="5"/>
      <c r="AC398" s="5"/>
      <c r="AD398" s="5"/>
      <c r="AE398" s="5"/>
      <c r="AF398" s="5"/>
      <c r="AG398" s="5"/>
      <c r="AH398" s="5"/>
    </row>
    <row r="399" spans="1:34" x14ac:dyDescent="0.3">
      <c r="Z399" s="5"/>
      <c r="AA399" s="5"/>
      <c r="AB399" s="5"/>
      <c r="AC399" s="5"/>
      <c r="AD399" s="5"/>
      <c r="AE399" s="5"/>
      <c r="AF399" s="5"/>
      <c r="AG399" s="5"/>
      <c r="AH399" s="5"/>
    </row>
    <row r="400" spans="1:34" x14ac:dyDescent="0.3">
      <c r="Z400" s="5"/>
      <c r="AA400" s="5"/>
      <c r="AB400" s="5"/>
      <c r="AC400" s="5"/>
      <c r="AD400" s="5"/>
      <c r="AE400" s="5"/>
      <c r="AF400" s="5"/>
      <c r="AG400" s="5"/>
      <c r="AH400" s="5"/>
    </row>
    <row r="401" spans="26:34" x14ac:dyDescent="0.3">
      <c r="Z401" s="5"/>
      <c r="AA401" s="5"/>
      <c r="AB401" s="5"/>
      <c r="AC401" s="5"/>
      <c r="AD401" s="5"/>
      <c r="AE401" s="5"/>
      <c r="AF401" s="5"/>
      <c r="AG401" s="5"/>
      <c r="AH401" s="5"/>
    </row>
    <row r="402" spans="26:34" x14ac:dyDescent="0.3">
      <c r="Z402" s="5"/>
      <c r="AA402" s="5"/>
      <c r="AB402" s="5"/>
      <c r="AC402" s="5"/>
      <c r="AD402" s="5"/>
      <c r="AE402" s="5"/>
      <c r="AF402" s="5"/>
      <c r="AG402" s="5"/>
      <c r="AH402" s="5"/>
    </row>
    <row r="403" spans="26:34" x14ac:dyDescent="0.3">
      <c r="Z403" s="5"/>
      <c r="AA403" s="5"/>
      <c r="AB403" s="5"/>
      <c r="AC403" s="5"/>
      <c r="AD403" s="5"/>
      <c r="AE403" s="5"/>
      <c r="AF403" s="5"/>
      <c r="AG403" s="5"/>
      <c r="AH403" s="5"/>
    </row>
    <row r="404" spans="26:34" x14ac:dyDescent="0.3">
      <c r="Z404" s="5"/>
      <c r="AA404" s="5"/>
      <c r="AB404" s="5"/>
      <c r="AC404" s="5"/>
      <c r="AD404" s="5"/>
      <c r="AE404" s="5"/>
      <c r="AF404" s="5"/>
      <c r="AG404" s="5"/>
      <c r="AH404" s="5"/>
    </row>
    <row r="405" spans="26:34" x14ac:dyDescent="0.3">
      <c r="Z405" s="5"/>
      <c r="AA405" s="5"/>
      <c r="AB405" s="5"/>
      <c r="AC405" s="5"/>
      <c r="AD405" s="5"/>
      <c r="AE405" s="5"/>
      <c r="AF405" s="5"/>
      <c r="AG405" s="5"/>
      <c r="AH405" s="5"/>
    </row>
    <row r="406" spans="26:34" x14ac:dyDescent="0.3">
      <c r="Z406" s="5"/>
      <c r="AA406" s="5"/>
      <c r="AB406" s="5"/>
      <c r="AC406" s="5"/>
      <c r="AD406" s="5"/>
      <c r="AE406" s="5"/>
      <c r="AF406" s="5"/>
      <c r="AG406" s="5"/>
      <c r="AH406" s="5"/>
    </row>
    <row r="407" spans="26:34" x14ac:dyDescent="0.3">
      <c r="Z407" s="5"/>
      <c r="AA407" s="5"/>
      <c r="AB407" s="5"/>
      <c r="AC407" s="5"/>
      <c r="AD407" s="5"/>
      <c r="AE407" s="5"/>
      <c r="AF407" s="5"/>
      <c r="AG407" s="5"/>
      <c r="AH407" s="5"/>
    </row>
    <row r="408" spans="26:34" x14ac:dyDescent="0.3">
      <c r="Z408" s="5"/>
      <c r="AA408" s="5"/>
      <c r="AB408" s="5"/>
      <c r="AC408" s="5"/>
      <c r="AD408" s="5"/>
      <c r="AE408" s="5"/>
      <c r="AF408" s="5"/>
      <c r="AG408" s="5"/>
      <c r="AH408" s="5"/>
    </row>
    <row r="409" spans="26:34" x14ac:dyDescent="0.3">
      <c r="Z409" s="5"/>
      <c r="AA409" s="5"/>
      <c r="AB409" s="5"/>
      <c r="AC409" s="5"/>
      <c r="AD409" s="5"/>
      <c r="AE409" s="5"/>
      <c r="AF409" s="5"/>
      <c r="AG409" s="5"/>
      <c r="AH409" s="5"/>
    </row>
    <row r="410" spans="26:34" x14ac:dyDescent="0.3">
      <c r="Z410" s="5"/>
      <c r="AA410" s="5"/>
      <c r="AB410" s="5"/>
      <c r="AC410" s="5"/>
      <c r="AD410" s="5"/>
      <c r="AE410" s="5"/>
      <c r="AF410" s="5"/>
      <c r="AG410" s="5"/>
      <c r="AH410" s="5"/>
    </row>
    <row r="411" spans="26:34" x14ac:dyDescent="0.3">
      <c r="Z411" s="5"/>
      <c r="AA411" s="5"/>
      <c r="AB411" s="5"/>
      <c r="AC411" s="5"/>
      <c r="AD411" s="5"/>
      <c r="AE411" s="5"/>
      <c r="AF411" s="5"/>
      <c r="AG411" s="5"/>
      <c r="AH411" s="5"/>
    </row>
    <row r="412" spans="26:34" x14ac:dyDescent="0.3">
      <c r="Z412" s="5"/>
      <c r="AA412" s="5"/>
      <c r="AB412" s="5"/>
      <c r="AC412" s="5"/>
      <c r="AD412" s="5"/>
      <c r="AE412" s="5"/>
      <c r="AF412" s="5"/>
      <c r="AG412" s="5"/>
      <c r="AH412" s="5"/>
    </row>
    <row r="413" spans="26:34" x14ac:dyDescent="0.3">
      <c r="Z413" s="5"/>
      <c r="AA413" s="5"/>
      <c r="AB413" s="5"/>
      <c r="AC413" s="5"/>
      <c r="AD413" s="5"/>
      <c r="AE413" s="5"/>
      <c r="AF413" s="5"/>
      <c r="AG413" s="5"/>
      <c r="AH413" s="5"/>
    </row>
    <row r="414" spans="26:34" x14ac:dyDescent="0.3">
      <c r="Z414" s="5"/>
      <c r="AA414" s="5"/>
      <c r="AB414" s="5"/>
      <c r="AC414" s="5"/>
      <c r="AD414" s="5"/>
      <c r="AE414" s="5"/>
      <c r="AF414" s="5"/>
      <c r="AG414" s="5"/>
      <c r="AH414" s="5"/>
    </row>
    <row r="415" spans="26:34" x14ac:dyDescent="0.3">
      <c r="Z415" s="5"/>
      <c r="AA415" s="5"/>
      <c r="AB415" s="5"/>
      <c r="AC415" s="5"/>
      <c r="AD415" s="5"/>
      <c r="AE415" s="5"/>
      <c r="AF415" s="5"/>
      <c r="AG415" s="5"/>
      <c r="AH415" s="5"/>
    </row>
    <row r="416" spans="26:34" x14ac:dyDescent="0.3">
      <c r="Z416" s="5"/>
      <c r="AA416" s="5"/>
      <c r="AB416" s="5"/>
      <c r="AC416" s="5"/>
      <c r="AD416" s="5"/>
      <c r="AE416" s="5"/>
      <c r="AF416" s="5"/>
      <c r="AG416" s="5"/>
      <c r="AH416" s="5"/>
    </row>
    <row r="417" spans="1:34" x14ac:dyDescent="0.3">
      <c r="Z417" s="5"/>
      <c r="AA417" s="5"/>
      <c r="AB417" s="5"/>
      <c r="AC417" s="5"/>
      <c r="AD417" s="5"/>
      <c r="AE417" s="5"/>
      <c r="AF417" s="5"/>
      <c r="AG417" s="5"/>
      <c r="AH417" s="5"/>
    </row>
    <row r="418" spans="1:34" x14ac:dyDescent="0.3">
      <c r="Z418" s="5"/>
      <c r="AA418" s="5"/>
      <c r="AB418" s="5"/>
      <c r="AC418" s="5"/>
      <c r="AD418" s="5"/>
      <c r="AE418" s="5"/>
      <c r="AF418" s="5"/>
      <c r="AG418" s="5"/>
      <c r="AH418" s="5"/>
    </row>
    <row r="419" spans="1:34" x14ac:dyDescent="0.3">
      <c r="Z419" s="5"/>
      <c r="AA419" s="5"/>
      <c r="AB419" s="5"/>
      <c r="AC419" s="5"/>
      <c r="AD419" s="5"/>
      <c r="AE419" s="5"/>
      <c r="AF419" s="5"/>
      <c r="AG419" s="5"/>
      <c r="AH419" s="5"/>
    </row>
    <row r="420" spans="1:34" x14ac:dyDescent="0.3">
      <c r="Z420" s="5"/>
      <c r="AA420" s="5"/>
      <c r="AB420" s="5"/>
      <c r="AC420" s="5"/>
      <c r="AD420" s="5"/>
      <c r="AE420" s="5"/>
      <c r="AF420" s="5"/>
      <c r="AG420" s="5"/>
      <c r="AH420" s="5"/>
    </row>
    <row r="421" spans="1:34" x14ac:dyDescent="0.3">
      <c r="Z421" s="5"/>
      <c r="AA421" s="5"/>
      <c r="AB421" s="5"/>
      <c r="AC421" s="5"/>
      <c r="AD421" s="5"/>
      <c r="AE421" s="5"/>
      <c r="AF421" s="5"/>
      <c r="AG421" s="5"/>
      <c r="AH421" s="5"/>
    </row>
    <row r="422" spans="1:34" x14ac:dyDescent="0.3">
      <c r="A422" s="23"/>
      <c r="B422" s="33"/>
      <c r="C422" s="3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5"/>
      <c r="AA422" s="5"/>
      <c r="AB422" s="5"/>
      <c r="AC422" s="5"/>
      <c r="AD422" s="5"/>
      <c r="AE422" s="5"/>
      <c r="AF422" s="5"/>
      <c r="AG422" s="5"/>
      <c r="AH422" s="5"/>
    </row>
    <row r="423" spans="1:34" x14ac:dyDescent="0.3">
      <c r="A423" s="23"/>
      <c r="B423" s="33"/>
      <c r="C423" s="3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5"/>
      <c r="AA423" s="5"/>
      <c r="AB423" s="5"/>
      <c r="AC423" s="5"/>
      <c r="AD423" s="5"/>
      <c r="AE423" s="5"/>
      <c r="AF423" s="5"/>
      <c r="AG423" s="5"/>
      <c r="AH423" s="5"/>
    </row>
    <row r="424" spans="1:34" x14ac:dyDescent="0.3">
      <c r="A424" s="23"/>
      <c r="B424" s="33"/>
      <c r="C424" s="3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5"/>
      <c r="AA424" s="5"/>
      <c r="AB424" s="5"/>
      <c r="AC424" s="5"/>
      <c r="AD424" s="5"/>
      <c r="AE424" s="5"/>
      <c r="AF424" s="5"/>
      <c r="AG424" s="5"/>
      <c r="AH424" s="5"/>
    </row>
    <row r="425" spans="1:34" x14ac:dyDescent="0.3">
      <c r="A425" s="23"/>
      <c r="B425" s="33"/>
      <c r="C425" s="3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5"/>
      <c r="AA425" s="5"/>
      <c r="AB425" s="5"/>
      <c r="AC425" s="5"/>
      <c r="AD425" s="5"/>
      <c r="AE425" s="5"/>
      <c r="AF425" s="5"/>
      <c r="AG425" s="5"/>
      <c r="AH425" s="5"/>
    </row>
    <row r="426" spans="1:34" x14ac:dyDescent="0.3">
      <c r="A426" s="23"/>
      <c r="B426" s="33"/>
      <c r="C426" s="3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5"/>
      <c r="AA426" s="5"/>
      <c r="AB426" s="5"/>
      <c r="AC426" s="5"/>
      <c r="AD426" s="5"/>
      <c r="AE426" s="5"/>
      <c r="AF426" s="5"/>
      <c r="AG426" s="5"/>
      <c r="AH426" s="5"/>
    </row>
    <row r="427" spans="1:34" x14ac:dyDescent="0.3">
      <c r="A427" s="23"/>
      <c r="B427" s="33"/>
      <c r="C427" s="3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5"/>
      <c r="AA427" s="5"/>
      <c r="AB427" s="5"/>
      <c r="AC427" s="5"/>
      <c r="AD427" s="5"/>
      <c r="AE427" s="5"/>
      <c r="AF427" s="5"/>
      <c r="AG427" s="5"/>
      <c r="AH427" s="5"/>
    </row>
    <row r="428" spans="1:34" x14ac:dyDescent="0.3">
      <c r="A428" s="23"/>
      <c r="B428" s="33"/>
      <c r="C428" s="3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5"/>
      <c r="AA428" s="5"/>
      <c r="AB428" s="5"/>
      <c r="AC428" s="5"/>
      <c r="AD428" s="5"/>
      <c r="AE428" s="5"/>
      <c r="AF428" s="5"/>
      <c r="AG428" s="5"/>
      <c r="AH428" s="5"/>
    </row>
    <row r="429" spans="1:34" x14ac:dyDescent="0.3">
      <c r="A429" s="23"/>
      <c r="B429" s="33"/>
      <c r="C429" s="3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5"/>
      <c r="AA429" s="5"/>
      <c r="AB429" s="5"/>
      <c r="AC429" s="5"/>
      <c r="AD429" s="5"/>
      <c r="AE429" s="5"/>
      <c r="AF429" s="5"/>
      <c r="AG429" s="5"/>
      <c r="AH429" s="5"/>
    </row>
    <row r="430" spans="1:34" x14ac:dyDescent="0.3">
      <c r="A430" s="23"/>
      <c r="B430" s="33"/>
      <c r="C430" s="3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5"/>
      <c r="AA430" s="5"/>
      <c r="AB430" s="5"/>
      <c r="AC430" s="5"/>
      <c r="AD430" s="5"/>
      <c r="AE430" s="5"/>
      <c r="AF430" s="5"/>
      <c r="AG430" s="5"/>
      <c r="AH430" s="5"/>
    </row>
    <row r="431" spans="1:34" x14ac:dyDescent="0.3">
      <c r="A431" s="23"/>
      <c r="B431" s="33"/>
      <c r="C431" s="3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5"/>
      <c r="AA431" s="5"/>
      <c r="AB431" s="5"/>
      <c r="AC431" s="5"/>
      <c r="AD431" s="5"/>
      <c r="AE431" s="5"/>
      <c r="AF431" s="5"/>
      <c r="AG431" s="5"/>
      <c r="AH431" s="5"/>
    </row>
    <row r="432" spans="1:34" x14ac:dyDescent="0.3">
      <c r="A432" s="23"/>
      <c r="B432" s="33"/>
      <c r="C432" s="3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5"/>
      <c r="AA432" s="5"/>
      <c r="AB432" s="5"/>
      <c r="AC432" s="5"/>
      <c r="AD432" s="5"/>
      <c r="AE432" s="5"/>
      <c r="AF432" s="5"/>
      <c r="AG432" s="5"/>
      <c r="AH432" s="5"/>
    </row>
    <row r="433" spans="1:34" x14ac:dyDescent="0.3">
      <c r="A433" s="23"/>
      <c r="B433" s="33"/>
      <c r="C433" s="3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5"/>
      <c r="AA433" s="5"/>
      <c r="AB433" s="5"/>
      <c r="AC433" s="5"/>
      <c r="AD433" s="5"/>
      <c r="AE433" s="5"/>
      <c r="AF433" s="5"/>
      <c r="AG433" s="5"/>
      <c r="AH433" s="5"/>
    </row>
    <row r="434" spans="1:34" x14ac:dyDescent="0.3">
      <c r="A434" s="23"/>
      <c r="B434" s="33"/>
      <c r="C434" s="3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5"/>
      <c r="AA434" s="5"/>
      <c r="AB434" s="5"/>
      <c r="AC434" s="5"/>
      <c r="AD434" s="5"/>
      <c r="AE434" s="5"/>
      <c r="AF434" s="5"/>
      <c r="AG434" s="5"/>
      <c r="AH434" s="5"/>
    </row>
    <row r="435" spans="1:34" x14ac:dyDescent="0.3">
      <c r="A435" s="23"/>
      <c r="B435" s="33"/>
      <c r="C435" s="3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5"/>
      <c r="AA435" s="5"/>
      <c r="AB435" s="5"/>
      <c r="AC435" s="5"/>
      <c r="AD435" s="5"/>
      <c r="AE435" s="5"/>
      <c r="AF435" s="5"/>
      <c r="AG435" s="5"/>
      <c r="AH435" s="5"/>
    </row>
    <row r="436" spans="1:34" x14ac:dyDescent="0.3">
      <c r="A436" s="23"/>
      <c r="B436" s="33"/>
      <c r="C436" s="3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5"/>
      <c r="AA436" s="5"/>
      <c r="AB436" s="5"/>
      <c r="AC436" s="5"/>
      <c r="AD436" s="5"/>
      <c r="AE436" s="5"/>
      <c r="AF436" s="5"/>
      <c r="AG436" s="5"/>
      <c r="AH436" s="5"/>
    </row>
    <row r="437" spans="1:34" x14ac:dyDescent="0.3">
      <c r="A437" s="23"/>
      <c r="B437" s="33"/>
      <c r="C437" s="3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5"/>
      <c r="AA437" s="5"/>
      <c r="AB437" s="5"/>
      <c r="AC437" s="5"/>
      <c r="AD437" s="5"/>
      <c r="AE437" s="5"/>
      <c r="AF437" s="5"/>
      <c r="AG437" s="5"/>
      <c r="AH437" s="5"/>
    </row>
    <row r="438" spans="1:34" x14ac:dyDescent="0.3">
      <c r="A438" s="23"/>
      <c r="B438" s="33"/>
      <c r="C438" s="3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5"/>
      <c r="AA438" s="5"/>
      <c r="AB438" s="5"/>
      <c r="AC438" s="5"/>
      <c r="AD438" s="5"/>
      <c r="AE438" s="5"/>
      <c r="AF438" s="5"/>
      <c r="AG438" s="5"/>
      <c r="AH438" s="5"/>
    </row>
    <row r="439" spans="1:34" x14ac:dyDescent="0.3">
      <c r="A439" s="23"/>
      <c r="B439" s="33"/>
      <c r="C439" s="3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5"/>
      <c r="AA439" s="5"/>
      <c r="AB439" s="5"/>
      <c r="AC439" s="5"/>
      <c r="AD439" s="5"/>
      <c r="AE439" s="5"/>
      <c r="AF439" s="5"/>
      <c r="AG439" s="5"/>
      <c r="AH439" s="5"/>
    </row>
    <row r="440" spans="1:34" x14ac:dyDescent="0.3">
      <c r="A440" s="23"/>
      <c r="B440" s="33"/>
      <c r="C440" s="3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5"/>
      <c r="AA440" s="5"/>
      <c r="AB440" s="5"/>
      <c r="AC440" s="5"/>
      <c r="AD440" s="5"/>
      <c r="AE440" s="5"/>
      <c r="AF440" s="5"/>
      <c r="AG440" s="5"/>
      <c r="AH440" s="5"/>
    </row>
    <row r="441" spans="1:34" x14ac:dyDescent="0.3">
      <c r="A441" s="23"/>
      <c r="B441" s="33"/>
      <c r="C441" s="3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5"/>
      <c r="AA441" s="5"/>
      <c r="AB441" s="5"/>
      <c r="AC441" s="5"/>
      <c r="AD441" s="5"/>
      <c r="AE441" s="5"/>
      <c r="AF441" s="5"/>
      <c r="AG441" s="5"/>
      <c r="AH441" s="5"/>
    </row>
    <row r="442" spans="1:34" x14ac:dyDescent="0.3">
      <c r="A442" s="23"/>
      <c r="B442" s="33"/>
      <c r="C442" s="3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5"/>
      <c r="AA442" s="5"/>
      <c r="AB442" s="5"/>
      <c r="AC442" s="5"/>
      <c r="AD442" s="5"/>
      <c r="AE442" s="5"/>
      <c r="AF442" s="5"/>
      <c r="AG442" s="5"/>
      <c r="AH442" s="5"/>
    </row>
    <row r="443" spans="1:34" x14ac:dyDescent="0.3">
      <c r="A443" s="23"/>
      <c r="B443" s="33"/>
      <c r="C443" s="3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5"/>
      <c r="AA443" s="5"/>
      <c r="AB443" s="5"/>
      <c r="AC443" s="5"/>
      <c r="AD443" s="5"/>
      <c r="AE443" s="5"/>
      <c r="AF443" s="5"/>
      <c r="AG443" s="5"/>
      <c r="AH443" s="5"/>
    </row>
    <row r="444" spans="1:34" x14ac:dyDescent="0.3">
      <c r="A444" s="23"/>
      <c r="B444" s="33"/>
      <c r="C444" s="3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5"/>
      <c r="AA444" s="5"/>
      <c r="AB444" s="5"/>
      <c r="AC444" s="5"/>
      <c r="AD444" s="5"/>
      <c r="AE444" s="5"/>
      <c r="AF444" s="5"/>
      <c r="AG444" s="5"/>
      <c r="AH444" s="5"/>
    </row>
    <row r="445" spans="1:34" x14ac:dyDescent="0.3">
      <c r="A445" s="23"/>
      <c r="B445" s="33"/>
      <c r="C445" s="3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5"/>
      <c r="AA445" s="5"/>
      <c r="AB445" s="5"/>
      <c r="AC445" s="5"/>
      <c r="AD445" s="5"/>
      <c r="AE445" s="5"/>
      <c r="AF445" s="5"/>
      <c r="AG445" s="5"/>
      <c r="AH445" s="5"/>
    </row>
    <row r="446" spans="1:34" x14ac:dyDescent="0.3">
      <c r="A446" s="23"/>
      <c r="B446" s="33"/>
      <c r="C446" s="3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5"/>
      <c r="AA446" s="5"/>
      <c r="AB446" s="5"/>
      <c r="AC446" s="5"/>
      <c r="AD446" s="5"/>
      <c r="AE446" s="5"/>
      <c r="AF446" s="5"/>
      <c r="AG446" s="5"/>
      <c r="AH446" s="5"/>
    </row>
    <row r="447" spans="1:34" x14ac:dyDescent="0.3">
      <c r="A447" s="23"/>
      <c r="B447" s="33"/>
      <c r="C447" s="3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5"/>
      <c r="AA447" s="5"/>
      <c r="AB447" s="5"/>
      <c r="AC447" s="5"/>
      <c r="AD447" s="5"/>
      <c r="AE447" s="5"/>
      <c r="AF447" s="5"/>
      <c r="AG447" s="5"/>
      <c r="AH447" s="5"/>
    </row>
    <row r="448" spans="1:34" x14ac:dyDescent="0.3">
      <c r="A448" s="23"/>
      <c r="B448" s="33"/>
      <c r="C448" s="3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5"/>
      <c r="AA448" s="5"/>
      <c r="AB448" s="5"/>
      <c r="AC448" s="5"/>
      <c r="AD448" s="5"/>
      <c r="AE448" s="5"/>
      <c r="AF448" s="5"/>
      <c r="AG448" s="5"/>
      <c r="AH448" s="5"/>
    </row>
    <row r="449" spans="1:34" x14ac:dyDescent="0.3">
      <c r="A449" s="23"/>
      <c r="B449" s="33"/>
      <c r="C449" s="3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5"/>
      <c r="AA449" s="5"/>
      <c r="AB449" s="5"/>
      <c r="AC449" s="5"/>
      <c r="AD449" s="5"/>
      <c r="AE449" s="5"/>
      <c r="AF449" s="5"/>
      <c r="AG449" s="5"/>
      <c r="AH449" s="5"/>
    </row>
    <row r="450" spans="1:34" x14ac:dyDescent="0.3">
      <c r="A450" s="23"/>
      <c r="B450" s="33"/>
      <c r="C450" s="3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5"/>
      <c r="AA450" s="5"/>
      <c r="AB450" s="5"/>
      <c r="AC450" s="5"/>
      <c r="AD450" s="5"/>
      <c r="AE450" s="5"/>
      <c r="AF450" s="5"/>
      <c r="AG450" s="5"/>
      <c r="AH450" s="5"/>
    </row>
    <row r="451" spans="1:34" x14ac:dyDescent="0.3">
      <c r="A451" s="23"/>
      <c r="B451" s="33"/>
      <c r="C451" s="3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5"/>
      <c r="AA451" s="5"/>
      <c r="AB451" s="5"/>
      <c r="AC451" s="5"/>
      <c r="AD451" s="5"/>
      <c r="AE451" s="5"/>
      <c r="AF451" s="5"/>
      <c r="AG451" s="5"/>
      <c r="AH451" s="5"/>
    </row>
    <row r="452" spans="1:34" x14ac:dyDescent="0.3">
      <c r="A452" s="23"/>
      <c r="B452" s="33"/>
      <c r="C452" s="3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5"/>
      <c r="AA452" s="5"/>
      <c r="AB452" s="5"/>
      <c r="AC452" s="5"/>
      <c r="AD452" s="5"/>
      <c r="AE452" s="5"/>
      <c r="AF452" s="5"/>
      <c r="AG452" s="5"/>
      <c r="AH452" s="5"/>
    </row>
    <row r="453" spans="1:34" x14ac:dyDescent="0.3">
      <c r="A453" s="23"/>
      <c r="B453" s="33"/>
      <c r="C453" s="3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5"/>
      <c r="AA453" s="5"/>
      <c r="AB453" s="5"/>
      <c r="AC453" s="5"/>
      <c r="AD453" s="5"/>
      <c r="AE453" s="5"/>
      <c r="AF453" s="5"/>
      <c r="AG453" s="5"/>
      <c r="AH453" s="5"/>
    </row>
    <row r="454" spans="1:34" x14ac:dyDescent="0.3">
      <c r="A454" s="23"/>
      <c r="B454" s="33"/>
      <c r="C454" s="3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5"/>
      <c r="AA454" s="5"/>
      <c r="AB454" s="5"/>
      <c r="AC454" s="5"/>
      <c r="AD454" s="5"/>
      <c r="AE454" s="5"/>
      <c r="AF454" s="5"/>
      <c r="AG454" s="5"/>
      <c r="AH454" s="5"/>
    </row>
    <row r="455" spans="1:34" x14ac:dyDescent="0.3">
      <c r="A455" s="23"/>
      <c r="B455" s="33"/>
      <c r="C455" s="3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5"/>
      <c r="AA455" s="5"/>
      <c r="AB455" s="5"/>
      <c r="AC455" s="5"/>
      <c r="AD455" s="5"/>
      <c r="AE455" s="5"/>
      <c r="AF455" s="5"/>
      <c r="AG455" s="5"/>
      <c r="AH455" s="5"/>
    </row>
    <row r="456" spans="1:34" x14ac:dyDescent="0.3">
      <c r="A456" s="23"/>
      <c r="B456" s="33"/>
      <c r="C456" s="3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5"/>
      <c r="AA456" s="5"/>
      <c r="AB456" s="5"/>
      <c r="AC456" s="5"/>
      <c r="AD456" s="5"/>
      <c r="AE456" s="5"/>
      <c r="AF456" s="5"/>
      <c r="AG456" s="5"/>
      <c r="AH456" s="5"/>
    </row>
    <row r="457" spans="1:34" x14ac:dyDescent="0.3">
      <c r="A457" s="23"/>
      <c r="B457" s="33"/>
      <c r="C457" s="3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5"/>
      <c r="AA457" s="5"/>
      <c r="AB457" s="5"/>
      <c r="AC457" s="5"/>
      <c r="AD457" s="5"/>
      <c r="AE457" s="5"/>
      <c r="AF457" s="5"/>
      <c r="AG457" s="5"/>
      <c r="AH457" s="5"/>
    </row>
    <row r="458" spans="1:34" x14ac:dyDescent="0.3">
      <c r="A458" s="23"/>
      <c r="B458" s="33"/>
      <c r="C458" s="3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5"/>
      <c r="AA458" s="5"/>
      <c r="AB458" s="5"/>
      <c r="AC458" s="5"/>
      <c r="AD458" s="5"/>
      <c r="AE458" s="5"/>
      <c r="AF458" s="5"/>
      <c r="AG458" s="5"/>
      <c r="AH458" s="5"/>
    </row>
    <row r="459" spans="1:34" x14ac:dyDescent="0.3">
      <c r="A459" s="23"/>
      <c r="B459" s="33"/>
      <c r="C459" s="3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5"/>
      <c r="AA459" s="5"/>
      <c r="AB459" s="5"/>
      <c r="AC459" s="5"/>
      <c r="AD459" s="5"/>
      <c r="AE459" s="5"/>
      <c r="AF459" s="5"/>
      <c r="AG459" s="5"/>
      <c r="AH459" s="5"/>
    </row>
    <row r="460" spans="1:34" x14ac:dyDescent="0.3">
      <c r="A460" s="23"/>
      <c r="B460" s="33"/>
      <c r="C460" s="3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5"/>
      <c r="AA460" s="5"/>
      <c r="AB460" s="5"/>
      <c r="AC460" s="5"/>
      <c r="AD460" s="5"/>
      <c r="AE460" s="5"/>
      <c r="AF460" s="5"/>
      <c r="AG460" s="5"/>
      <c r="AH460" s="5"/>
    </row>
    <row r="461" spans="1:34" x14ac:dyDescent="0.3">
      <c r="A461" s="23"/>
      <c r="B461" s="33"/>
      <c r="C461" s="3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5"/>
      <c r="AA461" s="5"/>
      <c r="AB461" s="5"/>
      <c r="AC461" s="5"/>
      <c r="AD461" s="5"/>
      <c r="AE461" s="5"/>
      <c r="AF461" s="5"/>
      <c r="AG461" s="5"/>
      <c r="AH461" s="5"/>
    </row>
    <row r="462" spans="1:34" x14ac:dyDescent="0.3">
      <c r="A462" s="23"/>
      <c r="B462" s="33"/>
      <c r="C462" s="3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5"/>
      <c r="AA462" s="5"/>
      <c r="AB462" s="5"/>
      <c r="AC462" s="5"/>
      <c r="AD462" s="5"/>
      <c r="AE462" s="5"/>
      <c r="AF462" s="5"/>
      <c r="AG462" s="5"/>
      <c r="AH462" s="5"/>
    </row>
    <row r="463" spans="1:34" x14ac:dyDescent="0.3">
      <c r="A463" s="23"/>
      <c r="B463" s="33"/>
      <c r="C463" s="3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5"/>
      <c r="AA463" s="5"/>
      <c r="AB463" s="5"/>
      <c r="AC463" s="5"/>
      <c r="AD463" s="5"/>
      <c r="AE463" s="5"/>
      <c r="AF463" s="5"/>
      <c r="AG463" s="5"/>
      <c r="AH463" s="5"/>
    </row>
    <row r="464" spans="1:34" x14ac:dyDescent="0.3">
      <c r="A464" s="23"/>
      <c r="B464" s="33"/>
      <c r="C464" s="3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5"/>
      <c r="AA464" s="5"/>
      <c r="AB464" s="5"/>
      <c r="AC464" s="5"/>
      <c r="AD464" s="5"/>
      <c r="AE464" s="5"/>
      <c r="AF464" s="5"/>
      <c r="AG464" s="5"/>
      <c r="AH464" s="5"/>
    </row>
    <row r="465" spans="1:34" x14ac:dyDescent="0.3">
      <c r="A465" s="23"/>
      <c r="B465" s="33"/>
      <c r="C465" s="3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5"/>
      <c r="AA465" s="5"/>
      <c r="AB465" s="5"/>
      <c r="AC465" s="5"/>
      <c r="AD465" s="5"/>
      <c r="AE465" s="5"/>
      <c r="AF465" s="5"/>
      <c r="AG465" s="5"/>
      <c r="AH465" s="5"/>
    </row>
    <row r="466" spans="1:34" x14ac:dyDescent="0.3">
      <c r="A466" s="23"/>
      <c r="B466" s="33"/>
      <c r="C466" s="3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5"/>
      <c r="AA466" s="5"/>
      <c r="AB466" s="5"/>
      <c r="AC466" s="5"/>
      <c r="AD466" s="5"/>
      <c r="AE466" s="5"/>
      <c r="AF466" s="5"/>
      <c r="AG466" s="5"/>
      <c r="AH466" s="5"/>
    </row>
    <row r="467" spans="1:34" x14ac:dyDescent="0.3">
      <c r="A467" s="23"/>
      <c r="B467" s="33"/>
      <c r="C467" s="3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5"/>
      <c r="AA467" s="5"/>
      <c r="AB467" s="5"/>
      <c r="AC467" s="5"/>
      <c r="AD467" s="5"/>
      <c r="AE467" s="5"/>
      <c r="AF467" s="5"/>
      <c r="AG467" s="5"/>
      <c r="AH467" s="5"/>
    </row>
    <row r="468" spans="1:34" x14ac:dyDescent="0.3">
      <c r="A468" s="23"/>
      <c r="B468" s="33"/>
      <c r="C468" s="3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5"/>
      <c r="AA468" s="5"/>
      <c r="AB468" s="5"/>
      <c r="AC468" s="5"/>
      <c r="AD468" s="5"/>
      <c r="AE468" s="5"/>
      <c r="AF468" s="5"/>
      <c r="AG468" s="5"/>
      <c r="AH468" s="5"/>
    </row>
    <row r="469" spans="1:34" x14ac:dyDescent="0.3">
      <c r="A469" s="23"/>
      <c r="B469" s="33"/>
      <c r="C469" s="3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5"/>
      <c r="AA469" s="5"/>
      <c r="AB469" s="5"/>
      <c r="AC469" s="5"/>
      <c r="AD469" s="5"/>
      <c r="AE469" s="5"/>
      <c r="AF469" s="5"/>
      <c r="AG469" s="5"/>
      <c r="AH469" s="5"/>
    </row>
    <row r="470" spans="1:34" x14ac:dyDescent="0.3">
      <c r="A470" s="23"/>
      <c r="B470" s="33"/>
      <c r="C470" s="3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5"/>
      <c r="AA470" s="5"/>
      <c r="AB470" s="5"/>
      <c r="AC470" s="5"/>
      <c r="AD470" s="5"/>
      <c r="AE470" s="5"/>
      <c r="AF470" s="5"/>
      <c r="AG470" s="5"/>
      <c r="AH470" s="5"/>
    </row>
    <row r="471" spans="1:34" x14ac:dyDescent="0.3">
      <c r="A471" s="23"/>
      <c r="B471" s="33"/>
      <c r="C471" s="3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5"/>
      <c r="AA471" s="5"/>
      <c r="AB471" s="5"/>
      <c r="AC471" s="5"/>
      <c r="AD471" s="5"/>
      <c r="AE471" s="5"/>
      <c r="AF471" s="5"/>
      <c r="AG471" s="5"/>
      <c r="AH471" s="5"/>
    </row>
    <row r="472" spans="1:34" x14ac:dyDescent="0.3">
      <c r="A472" s="23"/>
      <c r="B472" s="33"/>
      <c r="C472" s="3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5"/>
      <c r="AA472" s="5"/>
      <c r="AB472" s="5"/>
      <c r="AC472" s="5"/>
      <c r="AD472" s="5"/>
      <c r="AE472" s="5"/>
      <c r="AF472" s="5"/>
      <c r="AG472" s="5"/>
      <c r="AH472" s="5"/>
    </row>
    <row r="473" spans="1:34" x14ac:dyDescent="0.3">
      <c r="A473" s="23"/>
      <c r="B473" s="33"/>
      <c r="C473" s="3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5"/>
      <c r="AA473" s="5"/>
      <c r="AB473" s="5"/>
      <c r="AC473" s="5"/>
      <c r="AD473" s="5"/>
      <c r="AE473" s="5"/>
      <c r="AF473" s="5"/>
      <c r="AG473" s="5"/>
      <c r="AH473" s="5"/>
    </row>
    <row r="474" spans="1:34" x14ac:dyDescent="0.3">
      <c r="A474" s="23"/>
      <c r="B474" s="33"/>
      <c r="C474" s="3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5"/>
      <c r="AA474" s="5"/>
      <c r="AB474" s="5"/>
      <c r="AC474" s="5"/>
      <c r="AD474" s="5"/>
      <c r="AE474" s="5"/>
      <c r="AF474" s="5"/>
      <c r="AG474" s="5"/>
      <c r="AH474" s="5"/>
    </row>
    <row r="475" spans="1:34" x14ac:dyDescent="0.3">
      <c r="A475" s="23"/>
      <c r="B475" s="33"/>
      <c r="C475" s="3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5"/>
      <c r="AA475" s="5"/>
      <c r="AB475" s="5"/>
      <c r="AC475" s="5"/>
      <c r="AD475" s="5"/>
      <c r="AE475" s="5"/>
      <c r="AF475" s="5"/>
      <c r="AG475" s="5"/>
      <c r="AH475" s="5"/>
    </row>
    <row r="476" spans="1:34" x14ac:dyDescent="0.3">
      <c r="A476" s="23"/>
      <c r="B476" s="33"/>
      <c r="C476" s="3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5"/>
      <c r="AA476" s="5"/>
      <c r="AB476" s="5"/>
      <c r="AC476" s="5"/>
      <c r="AD476" s="5"/>
      <c r="AE476" s="5"/>
      <c r="AF476" s="5"/>
      <c r="AG476" s="5"/>
      <c r="AH476" s="5"/>
    </row>
    <row r="477" spans="1:34" x14ac:dyDescent="0.3">
      <c r="A477" s="23"/>
      <c r="B477" s="33"/>
      <c r="C477" s="3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5"/>
      <c r="AA477" s="5"/>
      <c r="AB477" s="5"/>
      <c r="AC477" s="5"/>
      <c r="AD477" s="5"/>
      <c r="AE477" s="5"/>
      <c r="AF477" s="5"/>
      <c r="AG477" s="5"/>
      <c r="AH477" s="5"/>
    </row>
    <row r="478" spans="1:34" x14ac:dyDescent="0.3">
      <c r="A478" s="23"/>
      <c r="B478" s="33"/>
      <c r="C478" s="3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5"/>
      <c r="AA478" s="5"/>
      <c r="AB478" s="5"/>
      <c r="AC478" s="5"/>
      <c r="AD478" s="5"/>
      <c r="AE478" s="5"/>
      <c r="AF478" s="5"/>
      <c r="AG478" s="5"/>
      <c r="AH478" s="5"/>
    </row>
    <row r="479" spans="1:34" x14ac:dyDescent="0.3">
      <c r="A479" s="23"/>
      <c r="B479" s="33"/>
      <c r="C479" s="3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5"/>
      <c r="AA479" s="5"/>
      <c r="AB479" s="5"/>
      <c r="AC479" s="5"/>
      <c r="AD479" s="5"/>
      <c r="AE479" s="5"/>
      <c r="AF479" s="5"/>
      <c r="AG479" s="5"/>
      <c r="AH479" s="5"/>
    </row>
    <row r="480" spans="1:34" x14ac:dyDescent="0.3">
      <c r="A480" s="23"/>
      <c r="B480" s="33"/>
      <c r="C480" s="3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5"/>
      <c r="AA480" s="5"/>
      <c r="AB480" s="5"/>
      <c r="AC480" s="5"/>
      <c r="AD480" s="5"/>
      <c r="AE480" s="5"/>
      <c r="AF480" s="5"/>
      <c r="AG480" s="5"/>
      <c r="AH480" s="5"/>
    </row>
    <row r="481" spans="1:34" x14ac:dyDescent="0.3">
      <c r="A481" s="23"/>
      <c r="B481" s="33"/>
      <c r="C481" s="3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5"/>
      <c r="AA481" s="5"/>
      <c r="AB481" s="5"/>
      <c r="AC481" s="5"/>
      <c r="AD481" s="5"/>
      <c r="AE481" s="5"/>
      <c r="AF481" s="5"/>
      <c r="AG481" s="5"/>
      <c r="AH481" s="5"/>
    </row>
    <row r="482" spans="1:34" x14ac:dyDescent="0.3">
      <c r="A482" s="23"/>
      <c r="B482" s="33"/>
      <c r="C482" s="3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5"/>
      <c r="AA482" s="5"/>
      <c r="AB482" s="5"/>
      <c r="AC482" s="5"/>
      <c r="AD482" s="5"/>
      <c r="AE482" s="5"/>
      <c r="AF482" s="5"/>
      <c r="AG482" s="5"/>
      <c r="AH482" s="5"/>
    </row>
    <row r="483" spans="1:34" x14ac:dyDescent="0.3">
      <c r="A483" s="23"/>
      <c r="B483" s="33"/>
      <c r="C483" s="3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5"/>
      <c r="AA483" s="5"/>
      <c r="AB483" s="5"/>
      <c r="AC483" s="5"/>
      <c r="AD483" s="5"/>
      <c r="AE483" s="5"/>
      <c r="AF483" s="5"/>
      <c r="AG483" s="5"/>
      <c r="AH483" s="5"/>
    </row>
    <row r="484" spans="1:34" x14ac:dyDescent="0.3">
      <c r="A484" s="23"/>
      <c r="B484" s="33"/>
      <c r="C484" s="3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5"/>
      <c r="AA484" s="5"/>
      <c r="AB484" s="5"/>
      <c r="AC484" s="5"/>
      <c r="AD484" s="5"/>
      <c r="AE484" s="5"/>
      <c r="AF484" s="5"/>
      <c r="AG484" s="5"/>
      <c r="AH484" s="5"/>
    </row>
    <row r="485" spans="1:34" x14ac:dyDescent="0.3">
      <c r="A485" s="23"/>
      <c r="B485" s="33"/>
      <c r="C485" s="3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5"/>
      <c r="AA485" s="5"/>
      <c r="AB485" s="5"/>
      <c r="AC485" s="5"/>
      <c r="AD485" s="5"/>
      <c r="AE485" s="5"/>
      <c r="AF485" s="5"/>
      <c r="AG485" s="5"/>
      <c r="AH485" s="5"/>
    </row>
    <row r="486" spans="1:34" x14ac:dyDescent="0.3">
      <c r="A486" s="23"/>
      <c r="B486" s="33"/>
      <c r="C486" s="3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5"/>
      <c r="AA486" s="5"/>
      <c r="AB486" s="5"/>
      <c r="AC486" s="5"/>
      <c r="AD486" s="5"/>
      <c r="AE486" s="5"/>
      <c r="AF486" s="5"/>
      <c r="AG486" s="5"/>
      <c r="AH486" s="5"/>
    </row>
    <row r="487" spans="1:34" x14ac:dyDescent="0.3">
      <c r="A487" s="23"/>
      <c r="B487" s="33"/>
      <c r="C487" s="3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5"/>
      <c r="AA487" s="5"/>
      <c r="AB487" s="5"/>
      <c r="AC487" s="5"/>
      <c r="AD487" s="5"/>
      <c r="AE487" s="5"/>
      <c r="AF487" s="5"/>
      <c r="AG487" s="5"/>
      <c r="AH487" s="5"/>
    </row>
    <row r="488" spans="1:34" x14ac:dyDescent="0.3">
      <c r="A488" s="23"/>
      <c r="B488" s="33"/>
      <c r="C488" s="3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5"/>
      <c r="AA488" s="5"/>
      <c r="AB488" s="5"/>
      <c r="AC488" s="5"/>
      <c r="AD488" s="5"/>
      <c r="AE488" s="5"/>
      <c r="AF488" s="5"/>
      <c r="AG488" s="5"/>
      <c r="AH488" s="5"/>
    </row>
    <row r="489" spans="1:34" x14ac:dyDescent="0.3">
      <c r="A489" s="23"/>
      <c r="B489" s="33"/>
      <c r="C489" s="3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5"/>
      <c r="AA489" s="5"/>
      <c r="AB489" s="5"/>
      <c r="AC489" s="5"/>
      <c r="AD489" s="5"/>
      <c r="AE489" s="5"/>
      <c r="AF489" s="5"/>
      <c r="AG489" s="5"/>
      <c r="AH489" s="5"/>
    </row>
    <row r="490" spans="1:34" x14ac:dyDescent="0.3">
      <c r="A490" s="23"/>
      <c r="B490" s="33"/>
      <c r="C490" s="3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5"/>
      <c r="AA490" s="5"/>
      <c r="AB490" s="5"/>
      <c r="AC490" s="5"/>
      <c r="AD490" s="5"/>
      <c r="AE490" s="5"/>
      <c r="AF490" s="5"/>
      <c r="AG490" s="5"/>
      <c r="AH490" s="5"/>
    </row>
    <row r="491" spans="1:34" x14ac:dyDescent="0.3">
      <c r="A491" s="23"/>
      <c r="B491" s="33"/>
      <c r="C491" s="3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5"/>
      <c r="AA491" s="5"/>
      <c r="AB491" s="5"/>
      <c r="AC491" s="5"/>
      <c r="AD491" s="5"/>
      <c r="AE491" s="5"/>
      <c r="AF491" s="5"/>
      <c r="AG491" s="5"/>
      <c r="AH491" s="5"/>
    </row>
    <row r="492" spans="1:34" x14ac:dyDescent="0.3">
      <c r="A492" s="23"/>
      <c r="B492" s="33"/>
      <c r="C492" s="3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5"/>
      <c r="AA492" s="5"/>
      <c r="AB492" s="5"/>
      <c r="AC492" s="5"/>
      <c r="AD492" s="5"/>
      <c r="AE492" s="5"/>
      <c r="AF492" s="5"/>
      <c r="AG492" s="5"/>
      <c r="AH492" s="5"/>
    </row>
    <row r="493" spans="1:34" x14ac:dyDescent="0.3">
      <c r="A493" s="23"/>
      <c r="B493" s="33"/>
      <c r="C493" s="3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5"/>
      <c r="AA493" s="5"/>
      <c r="AB493" s="5"/>
      <c r="AC493" s="5"/>
      <c r="AD493" s="5"/>
      <c r="AE493" s="5"/>
      <c r="AF493" s="5"/>
      <c r="AG493" s="5"/>
      <c r="AH493" s="5"/>
    </row>
    <row r="494" spans="1:34" x14ac:dyDescent="0.3">
      <c r="A494" s="23"/>
      <c r="B494" s="33"/>
      <c r="C494" s="3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5"/>
      <c r="AA494" s="5"/>
      <c r="AB494" s="5"/>
      <c r="AC494" s="5"/>
      <c r="AD494" s="5"/>
      <c r="AE494" s="5"/>
      <c r="AF494" s="5"/>
      <c r="AG494" s="5"/>
      <c r="AH494" s="5"/>
    </row>
    <row r="495" spans="1:34" x14ac:dyDescent="0.3">
      <c r="A495" s="23"/>
      <c r="B495" s="33"/>
      <c r="C495" s="3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5"/>
      <c r="AA495" s="5"/>
      <c r="AB495" s="5"/>
      <c r="AC495" s="5"/>
      <c r="AD495" s="5"/>
      <c r="AE495" s="5"/>
      <c r="AF495" s="5"/>
      <c r="AG495" s="5"/>
      <c r="AH495" s="5"/>
    </row>
    <row r="496" spans="1:34" x14ac:dyDescent="0.3">
      <c r="A496" s="23"/>
      <c r="B496" s="33"/>
      <c r="C496" s="3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5"/>
      <c r="AA496" s="5"/>
      <c r="AB496" s="5"/>
      <c r="AC496" s="5"/>
      <c r="AD496" s="5"/>
      <c r="AE496" s="5"/>
      <c r="AF496" s="5"/>
      <c r="AG496" s="5"/>
      <c r="AH496" s="5"/>
    </row>
    <row r="497" spans="1:34" x14ac:dyDescent="0.3">
      <c r="A497" s="23"/>
      <c r="B497" s="33"/>
      <c r="C497" s="3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5"/>
      <c r="AA497" s="5"/>
      <c r="AB497" s="5"/>
      <c r="AC497" s="5"/>
      <c r="AD497" s="5"/>
      <c r="AE497" s="5"/>
      <c r="AF497" s="5"/>
      <c r="AG497" s="5"/>
      <c r="AH497" s="5"/>
    </row>
    <row r="498" spans="1:34" x14ac:dyDescent="0.3">
      <c r="A498" s="23"/>
      <c r="B498" s="33"/>
      <c r="C498" s="3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5"/>
      <c r="AA498" s="5"/>
      <c r="AB498" s="5"/>
      <c r="AC498" s="5"/>
      <c r="AD498" s="5"/>
      <c r="AE498" s="5"/>
      <c r="AF498" s="5"/>
      <c r="AG498" s="5"/>
      <c r="AH498" s="5"/>
    </row>
    <row r="499" spans="1:34" x14ac:dyDescent="0.3">
      <c r="A499" s="23"/>
      <c r="B499" s="33"/>
      <c r="C499" s="3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5"/>
      <c r="AA499" s="5"/>
      <c r="AB499" s="5"/>
      <c r="AC499" s="5"/>
      <c r="AD499" s="5"/>
      <c r="AE499" s="5"/>
      <c r="AF499" s="5"/>
      <c r="AG499" s="5"/>
      <c r="AH499" s="5"/>
    </row>
    <row r="500" spans="1:34" x14ac:dyDescent="0.3">
      <c r="A500" s="23"/>
      <c r="B500" s="33"/>
      <c r="C500" s="3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5"/>
      <c r="AA500" s="5"/>
      <c r="AB500" s="5"/>
      <c r="AC500" s="5"/>
      <c r="AD500" s="5"/>
      <c r="AE500" s="5"/>
      <c r="AF500" s="5"/>
      <c r="AG500" s="5"/>
      <c r="AH500" s="5"/>
    </row>
    <row r="501" spans="1:34" x14ac:dyDescent="0.3">
      <c r="A501" s="23"/>
      <c r="B501" s="33"/>
      <c r="C501" s="3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5"/>
      <c r="AA501" s="5"/>
      <c r="AB501" s="5"/>
      <c r="AC501" s="5"/>
      <c r="AD501" s="5"/>
      <c r="AE501" s="5"/>
      <c r="AF501" s="5"/>
      <c r="AG501" s="5"/>
      <c r="AH501" s="5"/>
    </row>
    <row r="502" spans="1:34" x14ac:dyDescent="0.3">
      <c r="A502" s="23"/>
      <c r="B502" s="33"/>
      <c r="C502" s="3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5"/>
      <c r="AA502" s="5"/>
      <c r="AB502" s="5"/>
      <c r="AC502" s="5"/>
      <c r="AD502" s="5"/>
      <c r="AE502" s="5"/>
      <c r="AF502" s="5"/>
      <c r="AG502" s="5"/>
      <c r="AH502" s="5"/>
    </row>
    <row r="503" spans="1:34" x14ac:dyDescent="0.3">
      <c r="A503" s="23"/>
      <c r="B503" s="33"/>
      <c r="C503" s="3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5"/>
      <c r="AA503" s="5"/>
      <c r="AB503" s="5"/>
      <c r="AC503" s="5"/>
      <c r="AD503" s="5"/>
      <c r="AE503" s="5"/>
      <c r="AF503" s="5"/>
      <c r="AG503" s="5"/>
      <c r="AH503" s="5"/>
    </row>
    <row r="504" spans="1:34" x14ac:dyDescent="0.3">
      <c r="A504" s="23"/>
      <c r="B504" s="33"/>
      <c r="C504" s="3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5"/>
      <c r="AA504" s="5"/>
      <c r="AB504" s="5"/>
      <c r="AC504" s="5"/>
      <c r="AD504" s="5"/>
      <c r="AE504" s="5"/>
      <c r="AF504" s="5"/>
      <c r="AG504" s="5"/>
      <c r="AH504" s="5"/>
    </row>
    <row r="505" spans="1:34" x14ac:dyDescent="0.3">
      <c r="A505" s="23"/>
      <c r="B505" s="33"/>
      <c r="C505" s="3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5"/>
      <c r="AA505" s="5"/>
      <c r="AB505" s="5"/>
      <c r="AC505" s="5"/>
      <c r="AD505" s="5"/>
      <c r="AE505" s="5"/>
      <c r="AF505" s="5"/>
      <c r="AG505" s="5"/>
      <c r="AH505" s="5"/>
    </row>
    <row r="506" spans="1:34" x14ac:dyDescent="0.3">
      <c r="A506" s="23"/>
      <c r="B506" s="33"/>
      <c r="C506" s="3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5"/>
      <c r="AA506" s="5"/>
      <c r="AB506" s="5"/>
      <c r="AC506" s="5"/>
      <c r="AD506" s="5"/>
      <c r="AE506" s="5"/>
      <c r="AF506" s="5"/>
      <c r="AG506" s="5"/>
      <c r="AH506" s="5"/>
    </row>
    <row r="507" spans="1:34" x14ac:dyDescent="0.3">
      <c r="A507" s="23"/>
      <c r="B507" s="33"/>
      <c r="C507" s="3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5"/>
      <c r="AA507" s="5"/>
      <c r="AB507" s="5"/>
      <c r="AC507" s="5"/>
      <c r="AD507" s="5"/>
      <c r="AE507" s="5"/>
      <c r="AF507" s="5"/>
      <c r="AG507" s="5"/>
      <c r="AH507" s="5"/>
    </row>
    <row r="508" spans="1:34" x14ac:dyDescent="0.3">
      <c r="A508" s="23"/>
      <c r="B508" s="33"/>
      <c r="C508" s="3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5"/>
      <c r="AA508" s="5"/>
      <c r="AB508" s="5"/>
      <c r="AC508" s="5"/>
      <c r="AD508" s="5"/>
      <c r="AE508" s="5"/>
      <c r="AF508" s="5"/>
      <c r="AG508" s="5"/>
      <c r="AH508" s="5"/>
    </row>
    <row r="509" spans="1:34" x14ac:dyDescent="0.3">
      <c r="A509" s="23"/>
      <c r="B509" s="33"/>
      <c r="C509" s="3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5"/>
      <c r="AA509" s="5"/>
      <c r="AB509" s="5"/>
      <c r="AC509" s="5"/>
      <c r="AD509" s="5"/>
      <c r="AE509" s="5"/>
      <c r="AF509" s="5"/>
      <c r="AG509" s="5"/>
      <c r="AH509" s="5"/>
    </row>
    <row r="510" spans="1:34" x14ac:dyDescent="0.3">
      <c r="A510" s="23"/>
      <c r="B510" s="33"/>
      <c r="C510" s="3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5"/>
      <c r="AA510" s="5"/>
      <c r="AB510" s="5"/>
      <c r="AC510" s="5"/>
      <c r="AD510" s="5"/>
      <c r="AE510" s="5"/>
      <c r="AF510" s="5"/>
      <c r="AG510" s="5"/>
      <c r="AH510" s="5"/>
    </row>
    <row r="511" spans="1:34" x14ac:dyDescent="0.3">
      <c r="A511" s="23"/>
      <c r="B511" s="33"/>
      <c r="C511" s="3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5"/>
      <c r="AA511" s="5"/>
      <c r="AB511" s="5"/>
      <c r="AC511" s="5"/>
      <c r="AD511" s="5"/>
      <c r="AE511" s="5"/>
      <c r="AF511" s="5"/>
      <c r="AG511" s="5"/>
      <c r="AH511" s="5"/>
    </row>
    <row r="512" spans="1:34" x14ac:dyDescent="0.3">
      <c r="A512" s="23"/>
      <c r="B512" s="33"/>
      <c r="C512" s="3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5"/>
      <c r="AA512" s="5"/>
      <c r="AB512" s="5"/>
      <c r="AC512" s="5"/>
      <c r="AD512" s="5"/>
      <c r="AE512" s="5"/>
      <c r="AF512" s="5"/>
      <c r="AG512" s="5"/>
      <c r="AH512" s="5"/>
    </row>
    <row r="513" spans="1:34" x14ac:dyDescent="0.3">
      <c r="A513" s="23"/>
      <c r="B513" s="33"/>
      <c r="C513" s="3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5"/>
      <c r="AA513" s="5"/>
      <c r="AB513" s="5"/>
      <c r="AC513" s="5"/>
      <c r="AD513" s="5"/>
      <c r="AE513" s="5"/>
      <c r="AF513" s="5"/>
      <c r="AG513" s="5"/>
      <c r="AH513" s="5"/>
    </row>
    <row r="514" spans="1:34" x14ac:dyDescent="0.3">
      <c r="A514" s="23"/>
      <c r="B514" s="33"/>
      <c r="C514" s="3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5"/>
      <c r="AA514" s="5"/>
      <c r="AB514" s="5"/>
      <c r="AC514" s="5"/>
      <c r="AD514" s="5"/>
      <c r="AE514" s="5"/>
      <c r="AF514" s="5"/>
      <c r="AG514" s="5"/>
      <c r="AH514" s="5"/>
    </row>
    <row r="515" spans="1:34" x14ac:dyDescent="0.3">
      <c r="A515" s="23"/>
      <c r="B515" s="33"/>
      <c r="C515" s="3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5"/>
      <c r="AA515" s="5"/>
      <c r="AB515" s="5"/>
      <c r="AC515" s="5"/>
      <c r="AD515" s="5"/>
      <c r="AE515" s="5"/>
      <c r="AF515" s="5"/>
      <c r="AG515" s="5"/>
      <c r="AH515" s="5"/>
    </row>
    <row r="516" spans="1:34" x14ac:dyDescent="0.3">
      <c r="A516" s="23"/>
      <c r="B516" s="33"/>
      <c r="C516" s="3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5"/>
      <c r="AA516" s="5"/>
      <c r="AB516" s="5"/>
      <c r="AC516" s="5"/>
      <c r="AD516" s="5"/>
      <c r="AE516" s="5"/>
      <c r="AF516" s="5"/>
      <c r="AG516" s="5"/>
      <c r="AH516" s="5"/>
    </row>
    <row r="517" spans="1:34" x14ac:dyDescent="0.3">
      <c r="A517" s="23"/>
      <c r="B517" s="33"/>
      <c r="C517" s="3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5"/>
      <c r="AA517" s="5"/>
      <c r="AB517" s="5"/>
      <c r="AC517" s="5"/>
      <c r="AD517" s="5"/>
      <c r="AE517" s="5"/>
      <c r="AF517" s="5"/>
      <c r="AG517" s="5"/>
      <c r="AH517" s="5"/>
    </row>
    <row r="518" spans="1:34" x14ac:dyDescent="0.3">
      <c r="A518" s="23"/>
      <c r="B518" s="33"/>
      <c r="C518" s="3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5"/>
      <c r="AA518" s="5"/>
      <c r="AB518" s="5"/>
      <c r="AC518" s="5"/>
      <c r="AD518" s="5"/>
      <c r="AE518" s="5"/>
      <c r="AF518" s="5"/>
      <c r="AG518" s="5"/>
      <c r="AH518" s="5"/>
    </row>
    <row r="519" spans="1:34" x14ac:dyDescent="0.3">
      <c r="A519" s="23"/>
      <c r="B519" s="33"/>
      <c r="C519" s="3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5"/>
      <c r="AA519" s="5"/>
      <c r="AB519" s="5"/>
      <c r="AC519" s="5"/>
      <c r="AD519" s="5"/>
      <c r="AE519" s="5"/>
      <c r="AF519" s="5"/>
      <c r="AG519" s="5"/>
      <c r="AH519" s="5"/>
    </row>
    <row r="520" spans="1:34" x14ac:dyDescent="0.3">
      <c r="A520" s="23"/>
      <c r="B520" s="33"/>
      <c r="C520" s="3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</row>
    <row r="521" spans="1:34" x14ac:dyDescent="0.3">
      <c r="A521" s="23"/>
      <c r="B521" s="33"/>
      <c r="C521" s="3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</row>
    <row r="522" spans="1:34" x14ac:dyDescent="0.3">
      <c r="A522" s="23"/>
      <c r="B522" s="33"/>
      <c r="C522" s="3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</row>
    <row r="523" spans="1:34" x14ac:dyDescent="0.3">
      <c r="A523" s="23"/>
      <c r="B523" s="33"/>
      <c r="C523" s="3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</row>
    <row r="524" spans="1:34" x14ac:dyDescent="0.3">
      <c r="A524" s="23"/>
      <c r="B524" s="33"/>
      <c r="C524" s="3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</row>
    <row r="525" spans="1:34" x14ac:dyDescent="0.3">
      <c r="A525" s="23"/>
      <c r="B525" s="33"/>
      <c r="C525" s="3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</row>
    <row r="526" spans="1:34" x14ac:dyDescent="0.3">
      <c r="A526" s="23"/>
      <c r="B526" s="33"/>
      <c r="C526" s="3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</row>
    <row r="527" spans="1:34" x14ac:dyDescent="0.3">
      <c r="A527" s="23"/>
      <c r="B527" s="33"/>
      <c r="C527" s="3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</row>
    <row r="528" spans="1:34" x14ac:dyDescent="0.3">
      <c r="A528" s="23"/>
      <c r="B528" s="33"/>
      <c r="C528" s="3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</row>
    <row r="529" spans="1:25" x14ac:dyDescent="0.3">
      <c r="A529" s="23"/>
      <c r="B529" s="33"/>
      <c r="C529" s="3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</row>
    <row r="530" spans="1:25" x14ac:dyDescent="0.3">
      <c r="A530" s="23"/>
      <c r="B530" s="33"/>
      <c r="C530" s="3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</row>
    <row r="531" spans="1:25" x14ac:dyDescent="0.3">
      <c r="A531" s="23"/>
      <c r="B531" s="33"/>
      <c r="C531" s="3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</row>
    <row r="532" spans="1:25" x14ac:dyDescent="0.3">
      <c r="A532" s="23"/>
      <c r="B532" s="33"/>
      <c r="C532" s="3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</row>
    <row r="533" spans="1:25" x14ac:dyDescent="0.3">
      <c r="A533" s="23"/>
      <c r="B533" s="33"/>
      <c r="C533" s="3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</row>
    <row r="534" spans="1:25" x14ac:dyDescent="0.3">
      <c r="A534" s="23"/>
      <c r="B534" s="33"/>
      <c r="C534" s="3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</row>
    <row r="535" spans="1:25" x14ac:dyDescent="0.3">
      <c r="A535" s="23"/>
      <c r="B535" s="33"/>
      <c r="C535" s="3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</row>
    <row r="536" spans="1:25" x14ac:dyDescent="0.3">
      <c r="A536" s="23"/>
      <c r="B536" s="33"/>
      <c r="C536" s="3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</row>
    <row r="537" spans="1:25" x14ac:dyDescent="0.3">
      <c r="A537" s="23"/>
      <c r="B537" s="33"/>
      <c r="C537" s="3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</row>
    <row r="538" spans="1:25" x14ac:dyDescent="0.3">
      <c r="A538" s="23"/>
      <c r="B538" s="33"/>
      <c r="C538" s="3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</row>
    <row r="539" spans="1:25" x14ac:dyDescent="0.3">
      <c r="A539" s="23"/>
      <c r="B539" s="33"/>
      <c r="C539" s="3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</row>
    <row r="540" spans="1:25" x14ac:dyDescent="0.3">
      <c r="A540" s="23"/>
      <c r="B540" s="33"/>
      <c r="C540" s="3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</row>
    <row r="541" spans="1:25" x14ac:dyDescent="0.3">
      <c r="A541" s="23"/>
      <c r="B541" s="33"/>
      <c r="C541" s="3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</row>
    <row r="542" spans="1:25" x14ac:dyDescent="0.3">
      <c r="A542" s="23"/>
      <c r="B542" s="33"/>
      <c r="C542" s="3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</row>
    <row r="543" spans="1:25" x14ac:dyDescent="0.3">
      <c r="A543" s="23"/>
      <c r="B543" s="33"/>
      <c r="C543" s="3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</row>
  </sheetData>
  <mergeCells count="94">
    <mergeCell ref="C45:C48"/>
    <mergeCell ref="C49:C63"/>
    <mergeCell ref="C13:C17"/>
    <mergeCell ref="C18:C20"/>
    <mergeCell ref="C31:C33"/>
    <mergeCell ref="C34:C36"/>
    <mergeCell ref="C42:C44"/>
    <mergeCell ref="A31:A33"/>
    <mergeCell ref="A49:A63"/>
    <mergeCell ref="B34:B36"/>
    <mergeCell ref="A21:A25"/>
    <mergeCell ref="B21:B25"/>
    <mergeCell ref="B26:B30"/>
    <mergeCell ref="A26:A30"/>
    <mergeCell ref="B37:B41"/>
    <mergeCell ref="A37:A41"/>
    <mergeCell ref="B96:B98"/>
    <mergeCell ref="A104:A106"/>
    <mergeCell ref="A107:A109"/>
    <mergeCell ref="A110:A112"/>
    <mergeCell ref="A96:A98"/>
    <mergeCell ref="B99:B100"/>
    <mergeCell ref="B101:B103"/>
    <mergeCell ref="B104:B106"/>
    <mergeCell ref="A101:A103"/>
    <mergeCell ref="B174:E174"/>
    <mergeCell ref="A171:H171"/>
    <mergeCell ref="A170:H170"/>
    <mergeCell ref="A99:A100"/>
    <mergeCell ref="B113:B114"/>
    <mergeCell ref="A119:A124"/>
    <mergeCell ref="A113:A114"/>
    <mergeCell ref="B107:B109"/>
    <mergeCell ref="B110:B112"/>
    <mergeCell ref="B115:B124"/>
    <mergeCell ref="A125:A149"/>
    <mergeCell ref="B125:B149"/>
    <mergeCell ref="B150:B169"/>
    <mergeCell ref="C115:C124"/>
    <mergeCell ref="B76:B79"/>
    <mergeCell ref="B68:B69"/>
    <mergeCell ref="A88:A91"/>
    <mergeCell ref="B88:B91"/>
    <mergeCell ref="B92:B95"/>
    <mergeCell ref="A80:A83"/>
    <mergeCell ref="A68:A69"/>
    <mergeCell ref="A92:A95"/>
    <mergeCell ref="B80:B83"/>
    <mergeCell ref="A76:A79"/>
    <mergeCell ref="B70:B71"/>
    <mergeCell ref="B72:B75"/>
    <mergeCell ref="A84:A87"/>
    <mergeCell ref="B84:B87"/>
    <mergeCell ref="X9:X10"/>
    <mergeCell ref="H9:H10"/>
    <mergeCell ref="G9:G10"/>
    <mergeCell ref="Y9:Y10"/>
    <mergeCell ref="P9:P10"/>
    <mergeCell ref="Q9:Q10"/>
    <mergeCell ref="I9:I10"/>
    <mergeCell ref="R9:U9"/>
    <mergeCell ref="V9:V10"/>
    <mergeCell ref="B1:Y1"/>
    <mergeCell ref="B2:Y2"/>
    <mergeCell ref="A7:Y7"/>
    <mergeCell ref="A8:Y8"/>
    <mergeCell ref="A9:A10"/>
    <mergeCell ref="B9:B10"/>
    <mergeCell ref="D9:D10"/>
    <mergeCell ref="E9:E10"/>
    <mergeCell ref="F9:F10"/>
    <mergeCell ref="W9:W10"/>
    <mergeCell ref="O9:O10"/>
    <mergeCell ref="K9:K10"/>
    <mergeCell ref="J9:J10"/>
    <mergeCell ref="L9:L10"/>
    <mergeCell ref="M9:M10"/>
    <mergeCell ref="N9:N10"/>
    <mergeCell ref="B13:B17"/>
    <mergeCell ref="A12:Y12"/>
    <mergeCell ref="B31:B33"/>
    <mergeCell ref="A66:A67"/>
    <mergeCell ref="A18:A20"/>
    <mergeCell ref="B49:B63"/>
    <mergeCell ref="B64:B65"/>
    <mergeCell ref="B66:B67"/>
    <mergeCell ref="B42:B44"/>
    <mergeCell ref="B18:B20"/>
    <mergeCell ref="A34:A36"/>
    <mergeCell ref="A64:A65"/>
    <mergeCell ref="A42:A44"/>
    <mergeCell ref="A45:A48"/>
    <mergeCell ref="B45:B48"/>
    <mergeCell ref="A13:A17"/>
  </mergeCells>
  <phoneticPr fontId="18" type="noConversion"/>
  <pageMargins left="0.31496062992125984" right="0.19685039370078741" top="0.78740157480314965" bottom="0.19685039370078741" header="0.11811023622047245" footer="0.11811023622047245"/>
  <pageSetup paperSize="9" scale="52" orientation="landscape" horizontalDpi="300" verticalDpi="300" r:id="rId1"/>
  <headerFooter alignWithMargins="0"/>
  <rowBreaks count="2" manualBreakCount="2">
    <brk id="38" max="16383" man="1"/>
    <brk id="112" max="16383" man="1"/>
  </rowBreaks>
  <colBreaks count="2" manualBreakCount="2">
    <brk id="25" max="713" man="1"/>
    <brk id="27" max="713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B473"/>
  <sheetViews>
    <sheetView view="pageBreakPreview" topLeftCell="A61" zoomScale="53" zoomScaleNormal="55" zoomScaleSheetLayoutView="53" workbookViewId="0">
      <selection activeCell="I83" sqref="I83:I88"/>
    </sheetView>
  </sheetViews>
  <sheetFormatPr defaultColWidth="9.28515625" defaultRowHeight="18.75" x14ac:dyDescent="0.3"/>
  <cols>
    <col min="1" max="1" width="5.7109375" style="34" customWidth="1"/>
    <col min="2" max="2" width="49.7109375" style="42" customWidth="1"/>
    <col min="3" max="3" width="17.42578125" style="42" customWidth="1"/>
    <col min="4" max="4" width="12.42578125" style="35" customWidth="1"/>
    <col min="5" max="5" width="35.7109375" style="35" customWidth="1"/>
    <col min="6" max="6" width="6.7109375" style="35" customWidth="1"/>
    <col min="7" max="7" width="9.28515625" style="34"/>
    <col min="8" max="8" width="7.42578125" style="34" customWidth="1"/>
    <col min="9" max="9" width="9.28515625" style="34" customWidth="1"/>
    <col min="10" max="10" width="8" style="34" customWidth="1"/>
    <col min="11" max="11" width="8" style="35" customWidth="1"/>
    <col min="12" max="12" width="6.5703125" style="35" customWidth="1"/>
    <col min="13" max="13" width="9.42578125" style="35" customWidth="1"/>
    <col min="14" max="14" width="9.7109375" style="35" customWidth="1"/>
    <col min="15" max="15" width="9" style="35" customWidth="1"/>
    <col min="16" max="16" width="5.7109375" style="35" customWidth="1"/>
    <col min="17" max="17" width="9.7109375" style="35" customWidth="1"/>
    <col min="18" max="20" width="6.28515625" style="35" customWidth="1"/>
    <col min="21" max="21" width="8.28515625" style="35" customWidth="1"/>
    <col min="22" max="22" width="9.7109375" style="35" customWidth="1"/>
    <col min="23" max="23" width="10.28515625" style="35" customWidth="1"/>
    <col min="24" max="24" width="7.5703125" style="35" customWidth="1"/>
    <col min="25" max="25" width="12.7109375" style="39" customWidth="1"/>
    <col min="26" max="26" width="12.42578125" style="4" customWidth="1"/>
    <col min="27" max="27" width="10.5703125" style="4" customWidth="1"/>
    <col min="28" max="16384" width="9.28515625" style="5"/>
  </cols>
  <sheetData>
    <row r="1" spans="1:27" s="12" customFormat="1" x14ac:dyDescent="0.3">
      <c r="A1" s="86"/>
      <c r="B1" s="413" t="s">
        <v>39</v>
      </c>
      <c r="C1" s="413"/>
      <c r="D1" s="413"/>
      <c r="E1" s="413"/>
      <c r="F1" s="413"/>
      <c r="G1" s="413"/>
      <c r="H1" s="413"/>
      <c r="I1" s="413"/>
      <c r="J1" s="413"/>
      <c r="K1" s="413"/>
      <c r="L1" s="413"/>
      <c r="M1" s="413"/>
      <c r="N1" s="413"/>
      <c r="O1" s="413"/>
      <c r="P1" s="413"/>
      <c r="Q1" s="413"/>
      <c r="R1" s="413"/>
      <c r="S1" s="413"/>
      <c r="T1" s="413"/>
      <c r="U1" s="413"/>
      <c r="V1" s="413"/>
      <c r="W1" s="413"/>
      <c r="X1" s="413"/>
      <c r="Y1" s="413"/>
      <c r="Z1" s="8"/>
      <c r="AA1" s="8"/>
    </row>
    <row r="2" spans="1:27" s="12" customFormat="1" x14ac:dyDescent="0.3">
      <c r="A2" s="86"/>
      <c r="B2" s="413"/>
      <c r="C2" s="413"/>
      <c r="D2" s="413"/>
      <c r="E2" s="413"/>
      <c r="F2" s="413"/>
      <c r="G2" s="413"/>
      <c r="H2" s="413"/>
      <c r="I2" s="413"/>
      <c r="J2" s="413"/>
      <c r="K2" s="413"/>
      <c r="L2" s="413"/>
      <c r="M2" s="413"/>
      <c r="N2" s="413"/>
      <c r="O2" s="413"/>
      <c r="P2" s="413"/>
      <c r="Q2" s="413"/>
      <c r="R2" s="413"/>
      <c r="S2" s="413"/>
      <c r="T2" s="413"/>
      <c r="U2" s="413"/>
      <c r="V2" s="413"/>
      <c r="W2" s="413"/>
      <c r="X2" s="413"/>
      <c r="Y2" s="413"/>
      <c r="Z2" s="8"/>
      <c r="AA2" s="8"/>
    </row>
    <row r="3" spans="1:27" s="12" customFormat="1" x14ac:dyDescent="0.3">
      <c r="A3" s="86"/>
      <c r="B3" s="19"/>
      <c r="C3" s="19"/>
      <c r="D3" s="19"/>
      <c r="E3" s="19"/>
      <c r="F3" s="19"/>
      <c r="G3" s="19"/>
      <c r="H3" s="19"/>
      <c r="I3" s="86"/>
      <c r="J3" s="8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22" t="s">
        <v>17</v>
      </c>
      <c r="Z3" s="8"/>
      <c r="AA3" s="8"/>
    </row>
    <row r="4" spans="1:27" s="12" customFormat="1" x14ac:dyDescent="0.3">
      <c r="A4" s="86"/>
      <c r="B4" s="19"/>
      <c r="C4" s="19"/>
      <c r="D4" s="19"/>
      <c r="E4" s="19"/>
      <c r="F4" s="19"/>
      <c r="G4" s="19"/>
      <c r="H4" s="86"/>
      <c r="I4" s="86"/>
      <c r="J4" s="86"/>
      <c r="K4" s="6"/>
      <c r="L4" s="6"/>
      <c r="M4" s="6"/>
      <c r="N4" s="6"/>
      <c r="O4" s="6"/>
      <c r="P4" s="6"/>
      <c r="Q4" s="6"/>
      <c r="R4" s="6"/>
      <c r="S4" s="19" t="s">
        <v>18</v>
      </c>
      <c r="T4" s="23"/>
      <c r="U4" s="6"/>
      <c r="V4" s="6"/>
      <c r="W4" s="23"/>
      <c r="X4" s="6"/>
      <c r="Y4" s="24"/>
      <c r="Z4" s="14"/>
      <c r="AA4" s="14"/>
    </row>
    <row r="5" spans="1:27" s="12" customFormat="1" ht="15.75" customHeight="1" x14ac:dyDescent="0.3">
      <c r="A5" s="86"/>
      <c r="B5" s="19"/>
      <c r="C5" s="19"/>
      <c r="D5" s="19"/>
      <c r="E5" s="19"/>
      <c r="F5" s="19"/>
      <c r="G5" s="19"/>
      <c r="H5" s="86"/>
      <c r="I5" s="86"/>
      <c r="J5" s="86"/>
      <c r="K5" s="6"/>
      <c r="L5" s="6"/>
      <c r="M5" s="6"/>
      <c r="N5" s="6"/>
      <c r="O5" s="6"/>
      <c r="P5" s="6"/>
      <c r="Q5" s="6"/>
      <c r="R5" s="6"/>
      <c r="S5" s="29" t="s">
        <v>119</v>
      </c>
      <c r="T5" s="23"/>
      <c r="U5" s="6"/>
      <c r="V5" s="6"/>
      <c r="W5" s="23"/>
      <c r="X5" s="6"/>
      <c r="Y5" s="24"/>
      <c r="Z5" s="14"/>
      <c r="AA5" s="14"/>
    </row>
    <row r="6" spans="1:27" s="12" customFormat="1" ht="15.75" customHeight="1" x14ac:dyDescent="0.3">
      <c r="A6" s="86"/>
      <c r="B6" s="19"/>
      <c r="C6" s="19"/>
      <c r="D6" s="6"/>
      <c r="E6" s="6"/>
      <c r="F6" s="6"/>
      <c r="G6" s="86"/>
      <c r="H6" s="86"/>
      <c r="I6" s="86"/>
      <c r="J6" s="86"/>
      <c r="K6" s="6"/>
      <c r="L6" s="6"/>
      <c r="M6" s="6"/>
      <c r="N6" s="6"/>
      <c r="O6" s="6"/>
      <c r="P6" s="6"/>
      <c r="Q6" s="6"/>
      <c r="R6" s="6"/>
      <c r="S6" s="19" t="s">
        <v>34</v>
      </c>
      <c r="T6" s="23"/>
      <c r="U6" s="6"/>
      <c r="V6" s="6"/>
      <c r="W6" s="23"/>
      <c r="X6" s="6"/>
      <c r="Y6" s="24"/>
      <c r="Z6" s="14"/>
      <c r="AA6" s="14"/>
    </row>
    <row r="7" spans="1:27" s="12" customFormat="1" ht="21" customHeight="1" x14ac:dyDescent="0.25">
      <c r="A7" s="414" t="s">
        <v>280</v>
      </c>
      <c r="B7" s="414"/>
      <c r="C7" s="414"/>
      <c r="D7" s="414"/>
      <c r="E7" s="414"/>
      <c r="F7" s="414"/>
      <c r="G7" s="414"/>
      <c r="H7" s="414"/>
      <c r="I7" s="414"/>
      <c r="J7" s="414"/>
      <c r="K7" s="414"/>
      <c r="L7" s="414"/>
      <c r="M7" s="414"/>
      <c r="N7" s="414"/>
      <c r="O7" s="414"/>
      <c r="P7" s="414"/>
      <c r="Q7" s="414"/>
      <c r="R7" s="414"/>
      <c r="S7" s="414"/>
      <c r="T7" s="414"/>
      <c r="U7" s="414"/>
      <c r="V7" s="414"/>
      <c r="W7" s="414"/>
      <c r="X7" s="414"/>
      <c r="Y7" s="414"/>
      <c r="Z7" s="8"/>
      <c r="AA7" s="8"/>
    </row>
    <row r="8" spans="1:27" s="12" customFormat="1" ht="19.5" customHeight="1" thickBot="1" x14ac:dyDescent="0.35">
      <c r="A8" s="415" t="s">
        <v>6</v>
      </c>
      <c r="B8" s="415"/>
      <c r="C8" s="415"/>
      <c r="D8" s="415"/>
      <c r="E8" s="415"/>
      <c r="F8" s="415"/>
      <c r="G8" s="415"/>
      <c r="H8" s="415"/>
      <c r="I8" s="415"/>
      <c r="J8" s="415"/>
      <c r="K8" s="415"/>
      <c r="L8" s="415"/>
      <c r="M8" s="415"/>
      <c r="N8" s="415"/>
      <c r="O8" s="415"/>
      <c r="P8" s="415"/>
      <c r="Q8" s="415"/>
      <c r="R8" s="415"/>
      <c r="S8" s="415"/>
      <c r="T8" s="415"/>
      <c r="U8" s="415"/>
      <c r="V8" s="415"/>
      <c r="W8" s="415"/>
      <c r="X8" s="415"/>
      <c r="Y8" s="415"/>
      <c r="Z8" s="8"/>
      <c r="AA8" s="8"/>
    </row>
    <row r="9" spans="1:27" s="12" customFormat="1" ht="30" customHeight="1" x14ac:dyDescent="0.25">
      <c r="A9" s="416" t="s">
        <v>19</v>
      </c>
      <c r="B9" s="417" t="s">
        <v>20</v>
      </c>
      <c r="C9" s="301"/>
      <c r="D9" s="410" t="s">
        <v>5</v>
      </c>
      <c r="E9" s="410" t="s">
        <v>13</v>
      </c>
      <c r="F9" s="410" t="s">
        <v>8</v>
      </c>
      <c r="G9" s="410" t="s">
        <v>21</v>
      </c>
      <c r="H9" s="410" t="s">
        <v>22</v>
      </c>
      <c r="I9" s="410" t="s">
        <v>23</v>
      </c>
      <c r="J9" s="410" t="s">
        <v>4</v>
      </c>
      <c r="K9" s="410" t="s">
        <v>3</v>
      </c>
      <c r="L9" s="410" t="s">
        <v>38</v>
      </c>
      <c r="M9" s="410" t="s">
        <v>2</v>
      </c>
      <c r="N9" s="410" t="s">
        <v>37</v>
      </c>
      <c r="O9" s="410" t="s">
        <v>15</v>
      </c>
      <c r="P9" s="410" t="s">
        <v>24</v>
      </c>
      <c r="Q9" s="410" t="s">
        <v>16</v>
      </c>
      <c r="R9" s="412" t="s">
        <v>25</v>
      </c>
      <c r="S9" s="412"/>
      <c r="T9" s="412"/>
      <c r="U9" s="412"/>
      <c r="V9" s="410" t="s">
        <v>36</v>
      </c>
      <c r="W9" s="410" t="s">
        <v>26</v>
      </c>
      <c r="X9" s="484" t="s">
        <v>1</v>
      </c>
      <c r="Y9" s="482" t="s">
        <v>27</v>
      </c>
      <c r="Z9" s="8"/>
      <c r="AA9" s="8"/>
    </row>
    <row r="10" spans="1:27" s="12" customFormat="1" ht="114" customHeight="1" thickBot="1" x14ac:dyDescent="0.3">
      <c r="A10" s="454"/>
      <c r="B10" s="523"/>
      <c r="C10" s="325"/>
      <c r="D10" s="524"/>
      <c r="E10" s="524"/>
      <c r="F10" s="524"/>
      <c r="G10" s="524"/>
      <c r="H10" s="524"/>
      <c r="I10" s="524"/>
      <c r="J10" s="524"/>
      <c r="K10" s="524"/>
      <c r="L10" s="524"/>
      <c r="M10" s="524"/>
      <c r="N10" s="524"/>
      <c r="O10" s="524"/>
      <c r="P10" s="524"/>
      <c r="Q10" s="524"/>
      <c r="R10" s="90" t="s">
        <v>28</v>
      </c>
      <c r="S10" s="90" t="s">
        <v>29</v>
      </c>
      <c r="T10" s="90" t="s">
        <v>30</v>
      </c>
      <c r="U10" s="90" t="s">
        <v>0</v>
      </c>
      <c r="V10" s="524"/>
      <c r="W10" s="524"/>
      <c r="X10" s="525"/>
      <c r="Y10" s="526"/>
      <c r="Z10" s="8"/>
      <c r="AA10" s="8"/>
    </row>
    <row r="11" spans="1:27" s="12" customFormat="1" ht="25.5" customHeight="1" thickBot="1" x14ac:dyDescent="0.3">
      <c r="A11" s="89">
        <v>1</v>
      </c>
      <c r="B11" s="65">
        <v>2</v>
      </c>
      <c r="C11" s="65"/>
      <c r="D11" s="43">
        <v>3</v>
      </c>
      <c r="E11" s="43">
        <v>4</v>
      </c>
      <c r="F11" s="43">
        <v>5</v>
      </c>
      <c r="G11" s="43">
        <v>6</v>
      </c>
      <c r="H11" s="43">
        <v>7</v>
      </c>
      <c r="I11" s="43">
        <v>8</v>
      </c>
      <c r="J11" s="43">
        <v>9</v>
      </c>
      <c r="K11" s="43">
        <v>10</v>
      </c>
      <c r="L11" s="43">
        <v>11</v>
      </c>
      <c r="M11" s="43">
        <v>12</v>
      </c>
      <c r="N11" s="43">
        <v>13</v>
      </c>
      <c r="O11" s="43">
        <v>14</v>
      </c>
      <c r="P11" s="43">
        <v>15</v>
      </c>
      <c r="Q11" s="43">
        <v>16</v>
      </c>
      <c r="R11" s="43">
        <v>17</v>
      </c>
      <c r="S11" s="43">
        <v>18</v>
      </c>
      <c r="T11" s="43">
        <v>19</v>
      </c>
      <c r="U11" s="43">
        <v>20</v>
      </c>
      <c r="V11" s="43">
        <v>21</v>
      </c>
      <c r="W11" s="43">
        <v>22</v>
      </c>
      <c r="X11" s="43">
        <v>23</v>
      </c>
      <c r="Y11" s="44">
        <v>24</v>
      </c>
      <c r="Z11" s="8"/>
      <c r="AA11" s="8"/>
    </row>
    <row r="12" spans="1:27" s="17" customFormat="1" ht="24.75" customHeight="1" thickBot="1" x14ac:dyDescent="0.25">
      <c r="A12" s="434" t="s">
        <v>157</v>
      </c>
      <c r="B12" s="435"/>
      <c r="C12" s="435"/>
      <c r="D12" s="435"/>
      <c r="E12" s="435"/>
      <c r="F12" s="435"/>
      <c r="G12" s="435"/>
      <c r="H12" s="435"/>
      <c r="I12" s="435"/>
      <c r="J12" s="435"/>
      <c r="K12" s="435"/>
      <c r="L12" s="435"/>
      <c r="M12" s="435"/>
      <c r="N12" s="435"/>
      <c r="O12" s="435"/>
      <c r="P12" s="435"/>
      <c r="Q12" s="435"/>
      <c r="R12" s="435"/>
      <c r="S12" s="435"/>
      <c r="T12" s="435"/>
      <c r="U12" s="435"/>
      <c r="V12" s="435"/>
      <c r="W12" s="435"/>
      <c r="X12" s="435"/>
      <c r="Y12" s="527"/>
    </row>
    <row r="13" spans="1:27" s="15" customFormat="1" ht="21" customHeight="1" x14ac:dyDescent="0.25">
      <c r="A13" s="400">
        <v>1</v>
      </c>
      <c r="B13" s="530" t="s">
        <v>200</v>
      </c>
      <c r="C13" s="319"/>
      <c r="D13" s="174" t="s">
        <v>51</v>
      </c>
      <c r="E13" s="174" t="s">
        <v>100</v>
      </c>
      <c r="F13" s="174">
        <v>5</v>
      </c>
      <c r="G13" s="176" t="s">
        <v>35</v>
      </c>
      <c r="H13" s="174">
        <v>27</v>
      </c>
      <c r="I13" s="174">
        <v>30</v>
      </c>
      <c r="J13" s="174">
        <v>15</v>
      </c>
      <c r="K13" s="174"/>
      <c r="L13" s="174"/>
      <c r="M13" s="174">
        <v>15</v>
      </c>
      <c r="N13" s="174"/>
      <c r="O13" s="228" t="s">
        <v>494</v>
      </c>
      <c r="P13" s="228"/>
      <c r="Q13" s="261"/>
      <c r="R13" s="261"/>
      <c r="S13" s="261"/>
      <c r="T13" s="261"/>
      <c r="U13" s="261"/>
      <c r="V13" s="261"/>
      <c r="W13" s="261"/>
      <c r="X13" s="261"/>
      <c r="Y13" s="75">
        <v>2.1</v>
      </c>
      <c r="Z13" s="185" t="s">
        <v>494</v>
      </c>
      <c r="AA13" s="185"/>
    </row>
    <row r="14" spans="1:27" s="15" customFormat="1" ht="21" customHeight="1" x14ac:dyDescent="0.25">
      <c r="A14" s="400"/>
      <c r="B14" s="519"/>
      <c r="C14" s="319"/>
      <c r="D14" s="225" t="s">
        <v>44</v>
      </c>
      <c r="E14" s="176" t="s">
        <v>87</v>
      </c>
      <c r="F14" s="174">
        <v>5</v>
      </c>
      <c r="G14" s="176" t="s">
        <v>35</v>
      </c>
      <c r="H14" s="174">
        <v>20</v>
      </c>
      <c r="I14" s="174"/>
      <c r="J14" s="174">
        <v>15</v>
      </c>
      <c r="K14" s="174"/>
      <c r="L14" s="174"/>
      <c r="M14" s="174"/>
      <c r="N14" s="174"/>
      <c r="O14" s="228" t="s">
        <v>494</v>
      </c>
      <c r="P14" s="228"/>
      <c r="Q14" s="261"/>
      <c r="R14" s="261"/>
      <c r="S14" s="261"/>
      <c r="T14" s="261"/>
      <c r="U14" s="261"/>
      <c r="V14" s="261"/>
      <c r="W14" s="261"/>
      <c r="X14" s="261"/>
      <c r="Y14" s="75">
        <v>0.6</v>
      </c>
      <c r="Z14" s="185" t="s">
        <v>494</v>
      </c>
      <c r="AA14" s="185"/>
    </row>
    <row r="15" spans="1:27" s="15" customFormat="1" ht="21" customHeight="1" x14ac:dyDescent="0.25">
      <c r="A15" s="400"/>
      <c r="B15" s="519"/>
      <c r="C15" s="319"/>
      <c r="D15" s="225" t="s">
        <v>114</v>
      </c>
      <c r="E15" s="174" t="s">
        <v>155</v>
      </c>
      <c r="F15" s="262">
        <v>5</v>
      </c>
      <c r="G15" s="176" t="s">
        <v>35</v>
      </c>
      <c r="H15" s="174">
        <v>27</v>
      </c>
      <c r="I15" s="176"/>
      <c r="J15" s="176">
        <v>15</v>
      </c>
      <c r="K15" s="176"/>
      <c r="L15" s="176"/>
      <c r="M15" s="176"/>
      <c r="N15" s="176"/>
      <c r="O15" s="228" t="s">
        <v>494</v>
      </c>
      <c r="P15" s="228"/>
      <c r="Q15" s="261"/>
      <c r="R15" s="261"/>
      <c r="S15" s="261"/>
      <c r="T15" s="261"/>
      <c r="U15" s="261"/>
      <c r="V15" s="261"/>
      <c r="W15" s="261"/>
      <c r="X15" s="261"/>
      <c r="Y15" s="75">
        <v>0.6</v>
      </c>
      <c r="Z15" s="185" t="s">
        <v>494</v>
      </c>
      <c r="AA15" s="185"/>
    </row>
    <row r="16" spans="1:27" s="15" customFormat="1" ht="21" customHeight="1" x14ac:dyDescent="0.25">
      <c r="A16" s="400"/>
      <c r="B16" s="519"/>
      <c r="C16" s="319"/>
      <c r="D16" s="225" t="s">
        <v>114</v>
      </c>
      <c r="E16" s="174" t="s">
        <v>150</v>
      </c>
      <c r="F16" s="262">
        <v>5</v>
      </c>
      <c r="G16" s="176" t="s">
        <v>32</v>
      </c>
      <c r="H16" s="174">
        <v>10</v>
      </c>
      <c r="I16" s="174">
        <v>30</v>
      </c>
      <c r="J16" s="174">
        <v>15</v>
      </c>
      <c r="K16" s="174"/>
      <c r="L16" s="174"/>
      <c r="M16" s="174">
        <v>15</v>
      </c>
      <c r="N16" s="174"/>
      <c r="O16" s="263" t="s">
        <v>487</v>
      </c>
      <c r="P16" s="228"/>
      <c r="Q16" s="261"/>
      <c r="R16" s="261"/>
      <c r="S16" s="261"/>
      <c r="T16" s="261"/>
      <c r="U16" s="261"/>
      <c r="V16" s="261"/>
      <c r="W16" s="261"/>
      <c r="X16" s="261"/>
      <c r="Y16" s="75">
        <v>2.1</v>
      </c>
      <c r="Z16" s="212" t="s">
        <v>487</v>
      </c>
      <c r="AA16" s="185"/>
    </row>
    <row r="17" spans="1:27" s="15" customFormat="1" ht="21" customHeight="1" x14ac:dyDescent="0.25">
      <c r="A17" s="400"/>
      <c r="B17" s="519"/>
      <c r="C17" s="319"/>
      <c r="D17" s="174" t="s">
        <v>51</v>
      </c>
      <c r="E17" s="174" t="s">
        <v>101</v>
      </c>
      <c r="F17" s="174">
        <v>5</v>
      </c>
      <c r="G17" s="176" t="s">
        <v>32</v>
      </c>
      <c r="H17" s="174">
        <v>10</v>
      </c>
      <c r="I17" s="174"/>
      <c r="J17" s="176"/>
      <c r="K17" s="176"/>
      <c r="L17" s="176"/>
      <c r="M17" s="176"/>
      <c r="N17" s="176"/>
      <c r="O17" s="263" t="s">
        <v>487</v>
      </c>
      <c r="P17" s="228"/>
      <c r="Q17" s="261"/>
      <c r="R17" s="261"/>
      <c r="S17" s="261"/>
      <c r="T17" s="261"/>
      <c r="U17" s="261"/>
      <c r="V17" s="261"/>
      <c r="W17" s="261"/>
      <c r="X17" s="261"/>
      <c r="Y17" s="75">
        <v>0</v>
      </c>
      <c r="Z17" s="212" t="s">
        <v>487</v>
      </c>
      <c r="AA17" s="185"/>
    </row>
    <row r="18" spans="1:27" s="16" customFormat="1" ht="21" customHeight="1" x14ac:dyDescent="0.25">
      <c r="A18" s="400"/>
      <c r="B18" s="520"/>
      <c r="C18" s="323"/>
      <c r="D18" s="225" t="s">
        <v>44</v>
      </c>
      <c r="E18" s="176" t="s">
        <v>169</v>
      </c>
      <c r="F18" s="174">
        <v>5</v>
      </c>
      <c r="G18" s="176" t="s">
        <v>32</v>
      </c>
      <c r="H18" s="174">
        <v>9</v>
      </c>
      <c r="I18" s="174"/>
      <c r="J18" s="176"/>
      <c r="K18" s="176"/>
      <c r="L18" s="176"/>
      <c r="M18" s="176"/>
      <c r="N18" s="176"/>
      <c r="O18" s="263" t="s">
        <v>487</v>
      </c>
      <c r="P18" s="264"/>
      <c r="Q18" s="261"/>
      <c r="R18" s="261"/>
      <c r="S18" s="261"/>
      <c r="T18" s="261"/>
      <c r="U18" s="261"/>
      <c r="V18" s="261"/>
      <c r="W18" s="261"/>
      <c r="X18" s="261"/>
      <c r="Y18" s="75">
        <v>0</v>
      </c>
      <c r="Z18" s="212" t="s">
        <v>487</v>
      </c>
      <c r="AA18" s="186"/>
    </row>
    <row r="19" spans="1:27" ht="21" customHeight="1" x14ac:dyDescent="0.25">
      <c r="A19" s="400">
        <v>2</v>
      </c>
      <c r="B19" s="423" t="s">
        <v>76</v>
      </c>
      <c r="C19" s="395">
        <v>14</v>
      </c>
      <c r="D19" s="174" t="s">
        <v>43</v>
      </c>
      <c r="E19" s="174" t="s">
        <v>111</v>
      </c>
      <c r="F19" s="174">
        <v>5</v>
      </c>
      <c r="G19" s="174" t="s">
        <v>35</v>
      </c>
      <c r="H19" s="174">
        <v>12</v>
      </c>
      <c r="I19" s="174">
        <v>15</v>
      </c>
      <c r="J19" s="174">
        <v>23</v>
      </c>
      <c r="K19" s="174">
        <v>7</v>
      </c>
      <c r="L19" s="174"/>
      <c r="M19" s="174">
        <v>15</v>
      </c>
      <c r="N19" s="174"/>
      <c r="O19" s="228" t="s">
        <v>480</v>
      </c>
      <c r="P19" s="228"/>
      <c r="Q19" s="176"/>
      <c r="R19" s="176"/>
      <c r="S19" s="176"/>
      <c r="T19" s="176"/>
      <c r="U19" s="176"/>
      <c r="V19" s="176"/>
      <c r="W19" s="176"/>
      <c r="X19" s="176"/>
      <c r="Y19" s="75">
        <v>2.1</v>
      </c>
      <c r="Z19" s="184" t="s">
        <v>480</v>
      </c>
      <c r="AA19" s="184"/>
    </row>
    <row r="20" spans="1:27" ht="21" customHeight="1" x14ac:dyDescent="0.25">
      <c r="A20" s="400"/>
      <c r="B20" s="423"/>
      <c r="C20" s="397"/>
      <c r="D20" s="174" t="s">
        <v>43</v>
      </c>
      <c r="E20" s="174" t="s">
        <v>89</v>
      </c>
      <c r="F20" s="174">
        <v>5</v>
      </c>
      <c r="G20" s="174" t="s">
        <v>32</v>
      </c>
      <c r="H20" s="174">
        <v>10</v>
      </c>
      <c r="I20" s="174">
        <v>15</v>
      </c>
      <c r="J20" s="174">
        <v>23</v>
      </c>
      <c r="K20" s="174">
        <v>7</v>
      </c>
      <c r="L20" s="174"/>
      <c r="M20" s="174">
        <v>15</v>
      </c>
      <c r="N20" s="174"/>
      <c r="O20" s="228" t="s">
        <v>481</v>
      </c>
      <c r="P20" s="228"/>
      <c r="Q20" s="176"/>
      <c r="R20" s="176"/>
      <c r="S20" s="176"/>
      <c r="T20" s="176"/>
      <c r="U20" s="176"/>
      <c r="V20" s="176"/>
      <c r="W20" s="176"/>
      <c r="X20" s="176"/>
      <c r="Y20" s="75">
        <v>2.1</v>
      </c>
      <c r="Z20" s="184" t="s">
        <v>481</v>
      </c>
      <c r="AA20" s="184"/>
    </row>
    <row r="21" spans="1:27" ht="21" customHeight="1" x14ac:dyDescent="0.25">
      <c r="A21" s="400">
        <v>3</v>
      </c>
      <c r="B21" s="529" t="s">
        <v>75</v>
      </c>
      <c r="C21" s="322"/>
      <c r="D21" s="174" t="s">
        <v>43</v>
      </c>
      <c r="E21" s="174" t="s">
        <v>111</v>
      </c>
      <c r="F21" s="174">
        <v>5</v>
      </c>
      <c r="G21" s="174" t="s">
        <v>35</v>
      </c>
      <c r="H21" s="174">
        <v>12</v>
      </c>
      <c r="I21" s="174">
        <v>15</v>
      </c>
      <c r="J21" s="174">
        <v>30</v>
      </c>
      <c r="K21" s="174"/>
      <c r="L21" s="174"/>
      <c r="M21" s="174">
        <v>15</v>
      </c>
      <c r="N21" s="174"/>
      <c r="O21" s="228" t="s">
        <v>493</v>
      </c>
      <c r="P21" s="228"/>
      <c r="Q21" s="176"/>
      <c r="R21" s="176"/>
      <c r="S21" s="176"/>
      <c r="T21" s="176"/>
      <c r="U21" s="176"/>
      <c r="V21" s="176"/>
      <c r="W21" s="176"/>
      <c r="X21" s="176"/>
      <c r="Y21" s="75">
        <v>2.1</v>
      </c>
      <c r="Z21" s="184" t="s">
        <v>493</v>
      </c>
      <c r="AA21" s="184"/>
    </row>
    <row r="22" spans="1:27" ht="21" customHeight="1" x14ac:dyDescent="0.25">
      <c r="A22" s="400"/>
      <c r="B22" s="529"/>
      <c r="C22" s="329">
        <v>406</v>
      </c>
      <c r="D22" s="174" t="s">
        <v>43</v>
      </c>
      <c r="E22" s="174" t="s">
        <v>89</v>
      </c>
      <c r="F22" s="174">
        <v>5</v>
      </c>
      <c r="G22" s="174" t="s">
        <v>32</v>
      </c>
      <c r="H22" s="174">
        <v>10</v>
      </c>
      <c r="I22" s="174">
        <v>15</v>
      </c>
      <c r="J22" s="174">
        <v>30</v>
      </c>
      <c r="K22" s="174"/>
      <c r="L22" s="174"/>
      <c r="M22" s="174">
        <v>15</v>
      </c>
      <c r="N22" s="174"/>
      <c r="O22" s="228" t="s">
        <v>481</v>
      </c>
      <c r="P22" s="228"/>
      <c r="Q22" s="176"/>
      <c r="R22" s="176"/>
      <c r="S22" s="176"/>
      <c r="T22" s="176"/>
      <c r="U22" s="176"/>
      <c r="V22" s="176"/>
      <c r="W22" s="176"/>
      <c r="X22" s="176"/>
      <c r="Y22" s="75">
        <v>2.1</v>
      </c>
      <c r="Z22" s="184" t="s">
        <v>481</v>
      </c>
      <c r="AA22" s="184"/>
    </row>
    <row r="23" spans="1:27" ht="40.5" customHeight="1" x14ac:dyDescent="0.25">
      <c r="A23" s="400">
        <v>4</v>
      </c>
      <c r="B23" s="404" t="s">
        <v>237</v>
      </c>
      <c r="C23" s="307"/>
      <c r="D23" s="174" t="s">
        <v>43</v>
      </c>
      <c r="E23" s="174" t="s">
        <v>125</v>
      </c>
      <c r="F23" s="174">
        <v>5</v>
      </c>
      <c r="G23" s="174" t="s">
        <v>35</v>
      </c>
      <c r="H23" s="174">
        <v>9</v>
      </c>
      <c r="I23" s="174">
        <v>15</v>
      </c>
      <c r="J23" s="174">
        <v>30</v>
      </c>
      <c r="K23" s="174"/>
      <c r="L23" s="174"/>
      <c r="M23" s="174">
        <v>15</v>
      </c>
      <c r="N23" s="174"/>
      <c r="O23" s="263" t="s">
        <v>482</v>
      </c>
      <c r="P23" s="228"/>
      <c r="Q23" s="176"/>
      <c r="R23" s="176"/>
      <c r="S23" s="176"/>
      <c r="T23" s="176"/>
      <c r="U23" s="176"/>
      <c r="V23" s="176"/>
      <c r="W23" s="176"/>
      <c r="X23" s="176"/>
      <c r="Y23" s="75">
        <v>2.1</v>
      </c>
      <c r="Z23" s="210" t="s">
        <v>482</v>
      </c>
      <c r="AA23" s="184"/>
    </row>
    <row r="24" spans="1:27" ht="21" customHeight="1" x14ac:dyDescent="0.25">
      <c r="A24" s="400"/>
      <c r="B24" s="431"/>
      <c r="C24" s="308"/>
      <c r="D24" s="174" t="s">
        <v>43</v>
      </c>
      <c r="E24" s="174" t="s">
        <v>108</v>
      </c>
      <c r="F24" s="174">
        <v>5</v>
      </c>
      <c r="G24" s="174" t="s">
        <v>32</v>
      </c>
      <c r="H24" s="174">
        <v>17</v>
      </c>
      <c r="I24" s="174">
        <v>15</v>
      </c>
      <c r="J24" s="174">
        <v>30</v>
      </c>
      <c r="K24" s="174"/>
      <c r="L24" s="174"/>
      <c r="M24" s="174">
        <v>15</v>
      </c>
      <c r="N24" s="174"/>
      <c r="O24" s="263" t="s">
        <v>483</v>
      </c>
      <c r="P24" s="228"/>
      <c r="Q24" s="176"/>
      <c r="R24" s="176"/>
      <c r="S24" s="176"/>
      <c r="T24" s="176"/>
      <c r="U24" s="176"/>
      <c r="V24" s="176"/>
      <c r="W24" s="176"/>
      <c r="X24" s="176"/>
      <c r="Y24" s="75">
        <v>2.1</v>
      </c>
      <c r="Z24" s="210" t="s">
        <v>483</v>
      </c>
      <c r="AA24" s="184"/>
    </row>
    <row r="25" spans="1:27" ht="26.25" customHeight="1" x14ac:dyDescent="0.25">
      <c r="A25" s="400">
        <v>5</v>
      </c>
      <c r="B25" s="423" t="s">
        <v>70</v>
      </c>
      <c r="C25" s="305"/>
      <c r="D25" s="174" t="s">
        <v>43</v>
      </c>
      <c r="E25" s="174" t="s">
        <v>125</v>
      </c>
      <c r="F25" s="174">
        <v>5</v>
      </c>
      <c r="G25" s="174" t="s">
        <v>35</v>
      </c>
      <c r="H25" s="174">
        <v>9</v>
      </c>
      <c r="I25" s="174">
        <v>15</v>
      </c>
      <c r="J25" s="174">
        <v>30</v>
      </c>
      <c r="K25" s="174"/>
      <c r="L25" s="174"/>
      <c r="M25" s="174">
        <v>15</v>
      </c>
      <c r="N25" s="174"/>
      <c r="O25" s="263" t="s">
        <v>482</v>
      </c>
      <c r="P25" s="228"/>
      <c r="Q25" s="176"/>
      <c r="R25" s="176"/>
      <c r="S25" s="176"/>
      <c r="T25" s="176"/>
      <c r="U25" s="176"/>
      <c r="V25" s="176"/>
      <c r="W25" s="176"/>
      <c r="X25" s="176"/>
      <c r="Y25" s="75">
        <v>2.1</v>
      </c>
      <c r="Z25" s="210" t="s">
        <v>482</v>
      </c>
      <c r="AA25" s="184"/>
    </row>
    <row r="26" spans="1:27" ht="26.25" customHeight="1" x14ac:dyDescent="0.25">
      <c r="A26" s="400"/>
      <c r="B26" s="423"/>
      <c r="C26" s="305"/>
      <c r="D26" s="174" t="s">
        <v>43</v>
      </c>
      <c r="E26" s="174" t="s">
        <v>108</v>
      </c>
      <c r="F26" s="174">
        <v>5</v>
      </c>
      <c r="G26" s="174" t="s">
        <v>32</v>
      </c>
      <c r="H26" s="174">
        <v>17</v>
      </c>
      <c r="I26" s="174">
        <v>15</v>
      </c>
      <c r="J26" s="174">
        <v>30</v>
      </c>
      <c r="K26" s="174"/>
      <c r="L26" s="174"/>
      <c r="M26" s="174">
        <v>15</v>
      </c>
      <c r="N26" s="174"/>
      <c r="O26" s="228" t="s">
        <v>641</v>
      </c>
      <c r="P26" s="228"/>
      <c r="Q26" s="176"/>
      <c r="R26" s="176"/>
      <c r="S26" s="176"/>
      <c r="T26" s="176"/>
      <c r="U26" s="176"/>
      <c r="V26" s="176"/>
      <c r="W26" s="176"/>
      <c r="X26" s="176"/>
      <c r="Y26" s="75">
        <v>2.1</v>
      </c>
      <c r="Z26" s="184" t="s">
        <v>641</v>
      </c>
      <c r="AA26" s="184"/>
    </row>
    <row r="27" spans="1:27" ht="26.25" customHeight="1" x14ac:dyDescent="0.25">
      <c r="A27" s="400">
        <v>5</v>
      </c>
      <c r="B27" s="531" t="s">
        <v>71</v>
      </c>
      <c r="C27" s="324"/>
      <c r="D27" s="174" t="s">
        <v>43</v>
      </c>
      <c r="E27" s="174" t="s">
        <v>125</v>
      </c>
      <c r="F27" s="174">
        <v>5</v>
      </c>
      <c r="G27" s="174" t="s">
        <v>35</v>
      </c>
      <c r="H27" s="174">
        <v>9</v>
      </c>
      <c r="I27" s="174">
        <v>15</v>
      </c>
      <c r="J27" s="174">
        <v>30</v>
      </c>
      <c r="K27" s="174"/>
      <c r="L27" s="174"/>
      <c r="M27" s="174">
        <v>15</v>
      </c>
      <c r="N27" s="174"/>
      <c r="O27" s="263" t="s">
        <v>482</v>
      </c>
      <c r="P27" s="228"/>
      <c r="Q27" s="176"/>
      <c r="R27" s="176"/>
      <c r="S27" s="176"/>
      <c r="T27" s="176"/>
      <c r="U27" s="176"/>
      <c r="V27" s="176"/>
      <c r="W27" s="176"/>
      <c r="X27" s="176"/>
      <c r="Y27" s="75">
        <v>2.1</v>
      </c>
      <c r="Z27" s="210" t="s">
        <v>482</v>
      </c>
      <c r="AA27" s="184"/>
    </row>
    <row r="28" spans="1:27" ht="26.25" customHeight="1" x14ac:dyDescent="0.25">
      <c r="A28" s="400"/>
      <c r="B28" s="531"/>
      <c r="C28" s="328">
        <v>406</v>
      </c>
      <c r="D28" s="174" t="s">
        <v>43</v>
      </c>
      <c r="E28" s="174" t="s">
        <v>108</v>
      </c>
      <c r="F28" s="174">
        <v>5</v>
      </c>
      <c r="G28" s="174" t="s">
        <v>32</v>
      </c>
      <c r="H28" s="174">
        <v>17</v>
      </c>
      <c r="I28" s="174">
        <v>15</v>
      </c>
      <c r="J28" s="174">
        <v>30</v>
      </c>
      <c r="K28" s="174"/>
      <c r="L28" s="174"/>
      <c r="M28" s="174">
        <v>15</v>
      </c>
      <c r="N28" s="174"/>
      <c r="O28" s="228" t="s">
        <v>481</v>
      </c>
      <c r="P28" s="228"/>
      <c r="Q28" s="176"/>
      <c r="R28" s="176"/>
      <c r="S28" s="176"/>
      <c r="T28" s="176"/>
      <c r="U28" s="176"/>
      <c r="V28" s="176"/>
      <c r="W28" s="176"/>
      <c r="X28" s="176"/>
      <c r="Y28" s="75">
        <v>2.1</v>
      </c>
      <c r="Z28" s="184" t="s">
        <v>481</v>
      </c>
      <c r="AA28" s="184"/>
    </row>
    <row r="29" spans="1:27" ht="26.25" customHeight="1" x14ac:dyDescent="0.25">
      <c r="A29" s="400">
        <v>6</v>
      </c>
      <c r="B29" s="423" t="s">
        <v>72</v>
      </c>
      <c r="C29" s="305"/>
      <c r="D29" s="174" t="s">
        <v>43</v>
      </c>
      <c r="E29" s="174" t="s">
        <v>125</v>
      </c>
      <c r="F29" s="174">
        <v>5</v>
      </c>
      <c r="G29" s="174" t="s">
        <v>35</v>
      </c>
      <c r="H29" s="174">
        <v>9</v>
      </c>
      <c r="I29" s="174">
        <v>15</v>
      </c>
      <c r="J29" s="174">
        <v>30</v>
      </c>
      <c r="K29" s="174"/>
      <c r="L29" s="174"/>
      <c r="M29" s="174">
        <v>15</v>
      </c>
      <c r="N29" s="174"/>
      <c r="O29" s="228" t="s">
        <v>493</v>
      </c>
      <c r="P29" s="228"/>
      <c r="Q29" s="176"/>
      <c r="R29" s="176"/>
      <c r="S29" s="176"/>
      <c r="T29" s="176"/>
      <c r="U29" s="176"/>
      <c r="V29" s="176"/>
      <c r="W29" s="176"/>
      <c r="X29" s="176"/>
      <c r="Y29" s="75">
        <v>2.1</v>
      </c>
      <c r="Z29" s="184" t="s">
        <v>493</v>
      </c>
      <c r="AA29" s="184"/>
    </row>
    <row r="30" spans="1:27" ht="26.25" customHeight="1" x14ac:dyDescent="0.25">
      <c r="A30" s="400"/>
      <c r="B30" s="423"/>
      <c r="C30" s="305"/>
      <c r="D30" s="174" t="s">
        <v>43</v>
      </c>
      <c r="E30" s="174" t="s">
        <v>108</v>
      </c>
      <c r="F30" s="174">
        <v>5</v>
      </c>
      <c r="G30" s="174" t="s">
        <v>32</v>
      </c>
      <c r="H30" s="174">
        <v>17</v>
      </c>
      <c r="I30" s="174">
        <v>15</v>
      </c>
      <c r="J30" s="174">
        <v>30</v>
      </c>
      <c r="K30" s="174"/>
      <c r="L30" s="174"/>
      <c r="M30" s="174">
        <v>15</v>
      </c>
      <c r="N30" s="174"/>
      <c r="O30" s="228" t="s">
        <v>490</v>
      </c>
      <c r="P30" s="228"/>
      <c r="Q30" s="176"/>
      <c r="R30" s="176"/>
      <c r="S30" s="176"/>
      <c r="T30" s="176"/>
      <c r="U30" s="176"/>
      <c r="V30" s="176"/>
      <c r="W30" s="176"/>
      <c r="X30" s="176"/>
      <c r="Y30" s="75">
        <v>2.1</v>
      </c>
      <c r="Z30" s="184" t="s">
        <v>490</v>
      </c>
      <c r="AA30" s="184"/>
    </row>
    <row r="31" spans="1:27" ht="26.25" customHeight="1" x14ac:dyDescent="0.3">
      <c r="A31" s="400">
        <v>7</v>
      </c>
      <c r="B31" s="423" t="s">
        <v>73</v>
      </c>
      <c r="C31" s="305"/>
      <c r="D31" s="174" t="s">
        <v>43</v>
      </c>
      <c r="E31" s="174" t="s">
        <v>125</v>
      </c>
      <c r="F31" s="174">
        <v>5</v>
      </c>
      <c r="G31" s="174" t="s">
        <v>35</v>
      </c>
      <c r="H31" s="174">
        <v>9</v>
      </c>
      <c r="I31" s="174">
        <v>15</v>
      </c>
      <c r="J31" s="174">
        <v>30</v>
      </c>
      <c r="K31" s="174"/>
      <c r="L31" s="174"/>
      <c r="M31" s="174">
        <v>15</v>
      </c>
      <c r="N31" s="174"/>
      <c r="O31" s="265" t="s">
        <v>492</v>
      </c>
      <c r="P31" s="228"/>
      <c r="Q31" s="176"/>
      <c r="R31" s="176"/>
      <c r="S31" s="176"/>
      <c r="T31" s="176"/>
      <c r="U31" s="176"/>
      <c r="V31" s="176"/>
      <c r="W31" s="176"/>
      <c r="X31" s="176"/>
      <c r="Y31" s="75">
        <v>2.1</v>
      </c>
      <c r="Z31" s="187" t="s">
        <v>492</v>
      </c>
      <c r="AA31" s="184"/>
    </row>
    <row r="32" spans="1:27" ht="26.25" customHeight="1" x14ac:dyDescent="0.25">
      <c r="A32" s="400"/>
      <c r="B32" s="423"/>
      <c r="C32" s="305"/>
      <c r="D32" s="174" t="s">
        <v>43</v>
      </c>
      <c r="E32" s="174" t="s">
        <v>108</v>
      </c>
      <c r="F32" s="174">
        <v>5</v>
      </c>
      <c r="G32" s="174" t="s">
        <v>32</v>
      </c>
      <c r="H32" s="174">
        <v>17</v>
      </c>
      <c r="I32" s="174">
        <v>15</v>
      </c>
      <c r="J32" s="174">
        <v>30</v>
      </c>
      <c r="K32" s="174"/>
      <c r="L32" s="174"/>
      <c r="M32" s="174">
        <v>15</v>
      </c>
      <c r="N32" s="174"/>
      <c r="O32" s="228" t="s">
        <v>488</v>
      </c>
      <c r="P32" s="228"/>
      <c r="Q32" s="176"/>
      <c r="R32" s="176"/>
      <c r="S32" s="176"/>
      <c r="T32" s="176"/>
      <c r="U32" s="176"/>
      <c r="V32" s="176"/>
      <c r="W32" s="176"/>
      <c r="X32" s="176"/>
      <c r="Y32" s="75">
        <v>2.1</v>
      </c>
      <c r="Z32" s="184" t="s">
        <v>488</v>
      </c>
      <c r="AA32" s="184"/>
    </row>
    <row r="33" spans="1:27" s="21" customFormat="1" ht="29.25" customHeight="1" x14ac:dyDescent="0.3">
      <c r="A33" s="521">
        <v>14</v>
      </c>
      <c r="B33" s="509" t="s">
        <v>211</v>
      </c>
      <c r="C33" s="320"/>
      <c r="D33" s="174" t="s">
        <v>43</v>
      </c>
      <c r="E33" s="174" t="s">
        <v>125</v>
      </c>
      <c r="F33" s="174">
        <v>5</v>
      </c>
      <c r="G33" s="174" t="s">
        <v>35</v>
      </c>
      <c r="H33" s="174">
        <v>9</v>
      </c>
      <c r="I33" s="174">
        <v>15</v>
      </c>
      <c r="J33" s="174">
        <v>30</v>
      </c>
      <c r="K33" s="174"/>
      <c r="L33" s="174"/>
      <c r="M33" s="174">
        <v>15</v>
      </c>
      <c r="N33" s="174"/>
      <c r="O33" s="265" t="s">
        <v>484</v>
      </c>
      <c r="P33" s="265"/>
      <c r="Q33" s="176"/>
      <c r="R33" s="176"/>
      <c r="S33" s="176"/>
      <c r="T33" s="176"/>
      <c r="U33" s="176"/>
      <c r="V33" s="176"/>
      <c r="W33" s="176"/>
      <c r="X33" s="176"/>
      <c r="Y33" s="75">
        <v>2.1</v>
      </c>
      <c r="Z33" s="187" t="s">
        <v>484</v>
      </c>
      <c r="AA33" s="187"/>
    </row>
    <row r="34" spans="1:27" s="21" customFormat="1" ht="29.25" customHeight="1" x14ac:dyDescent="0.3">
      <c r="A34" s="522"/>
      <c r="B34" s="511"/>
      <c r="C34" s="321"/>
      <c r="D34" s="174" t="s">
        <v>43</v>
      </c>
      <c r="E34" s="174" t="s">
        <v>108</v>
      </c>
      <c r="F34" s="174">
        <v>5</v>
      </c>
      <c r="G34" s="174" t="s">
        <v>32</v>
      </c>
      <c r="H34" s="174">
        <v>17</v>
      </c>
      <c r="I34" s="174">
        <v>15</v>
      </c>
      <c r="J34" s="174">
        <v>30</v>
      </c>
      <c r="K34" s="174"/>
      <c r="L34" s="174"/>
      <c r="M34" s="174">
        <v>15</v>
      </c>
      <c r="N34" s="174"/>
      <c r="O34" s="265" t="s">
        <v>641</v>
      </c>
      <c r="P34" s="265"/>
      <c r="Q34" s="176"/>
      <c r="R34" s="176"/>
      <c r="S34" s="176"/>
      <c r="T34" s="176"/>
      <c r="U34" s="176"/>
      <c r="V34" s="176"/>
      <c r="W34" s="176"/>
      <c r="X34" s="176"/>
      <c r="Y34" s="75">
        <v>2.1</v>
      </c>
      <c r="Z34" s="187" t="s">
        <v>641</v>
      </c>
      <c r="AA34" s="187"/>
    </row>
    <row r="35" spans="1:27" ht="27" customHeight="1" x14ac:dyDescent="0.3">
      <c r="A35" s="528">
        <v>16</v>
      </c>
      <c r="B35" s="509" t="s">
        <v>69</v>
      </c>
      <c r="C35" s="320"/>
      <c r="D35" s="174" t="s">
        <v>44</v>
      </c>
      <c r="E35" s="176" t="s">
        <v>107</v>
      </c>
      <c r="F35" s="176">
        <v>5</v>
      </c>
      <c r="G35" s="176" t="s">
        <v>35</v>
      </c>
      <c r="H35" s="176">
        <v>30</v>
      </c>
      <c r="I35" s="174">
        <v>15</v>
      </c>
      <c r="J35" s="174">
        <v>30</v>
      </c>
      <c r="K35" s="174"/>
      <c r="L35" s="174"/>
      <c r="M35" s="174">
        <v>15</v>
      </c>
      <c r="N35" s="174"/>
      <c r="O35" s="228" t="s">
        <v>485</v>
      </c>
      <c r="P35" s="228"/>
      <c r="Q35" s="174"/>
      <c r="R35" s="174"/>
      <c r="S35" s="174"/>
      <c r="T35" s="174"/>
      <c r="U35" s="174"/>
      <c r="V35" s="174"/>
      <c r="W35" s="174"/>
      <c r="X35" s="243"/>
      <c r="Y35" s="97">
        <v>2.1</v>
      </c>
      <c r="Z35" s="184" t="s">
        <v>485</v>
      </c>
      <c r="AA35" s="184"/>
    </row>
    <row r="36" spans="1:27" ht="27" customHeight="1" x14ac:dyDescent="0.3">
      <c r="A36" s="522"/>
      <c r="B36" s="511"/>
      <c r="C36" s="321"/>
      <c r="D36" s="174" t="s">
        <v>44</v>
      </c>
      <c r="E36" s="174" t="s">
        <v>244</v>
      </c>
      <c r="F36" s="175">
        <v>5</v>
      </c>
      <c r="G36" s="176" t="s">
        <v>32</v>
      </c>
      <c r="H36" s="176">
        <v>6</v>
      </c>
      <c r="I36" s="174">
        <v>15</v>
      </c>
      <c r="J36" s="174">
        <v>30</v>
      </c>
      <c r="K36" s="174"/>
      <c r="L36" s="174"/>
      <c r="M36" s="174">
        <v>15</v>
      </c>
      <c r="N36" s="174"/>
      <c r="O36" s="228" t="s">
        <v>490</v>
      </c>
      <c r="P36" s="228"/>
      <c r="Q36" s="174"/>
      <c r="R36" s="174"/>
      <c r="S36" s="174"/>
      <c r="T36" s="174"/>
      <c r="U36" s="174"/>
      <c r="V36" s="174"/>
      <c r="W36" s="174"/>
      <c r="X36" s="243"/>
      <c r="Y36" s="97">
        <v>2.1</v>
      </c>
      <c r="Z36" s="184" t="s">
        <v>490</v>
      </c>
      <c r="AA36" s="184"/>
    </row>
    <row r="37" spans="1:27" s="4" customFormat="1" ht="29.25" customHeight="1" x14ac:dyDescent="0.25">
      <c r="A37" s="521">
        <v>17</v>
      </c>
      <c r="B37" s="423" t="s">
        <v>74</v>
      </c>
      <c r="C37" s="305"/>
      <c r="D37" s="225" t="s">
        <v>44</v>
      </c>
      <c r="E37" s="176" t="s">
        <v>87</v>
      </c>
      <c r="F37" s="174">
        <v>5</v>
      </c>
      <c r="G37" s="176" t="s">
        <v>35</v>
      </c>
      <c r="H37" s="174">
        <v>20</v>
      </c>
      <c r="I37" s="176">
        <v>30</v>
      </c>
      <c r="J37" s="174">
        <v>15</v>
      </c>
      <c r="K37" s="174"/>
      <c r="L37" s="174"/>
      <c r="M37" s="174">
        <v>15</v>
      </c>
      <c r="N37" s="174"/>
      <c r="O37" s="264" t="s">
        <v>536</v>
      </c>
      <c r="P37" s="264"/>
      <c r="Q37" s="174"/>
      <c r="R37" s="174"/>
      <c r="S37" s="174"/>
      <c r="T37" s="174"/>
      <c r="U37" s="174"/>
      <c r="V37" s="174"/>
      <c r="W37" s="174"/>
      <c r="X37" s="174"/>
      <c r="Y37" s="97">
        <v>2.1</v>
      </c>
      <c r="Z37" s="188" t="s">
        <v>536</v>
      </c>
      <c r="AA37" s="188"/>
    </row>
    <row r="38" spans="1:27" s="4" customFormat="1" ht="29.25" customHeight="1" x14ac:dyDescent="0.25">
      <c r="A38" s="528"/>
      <c r="B38" s="423"/>
      <c r="C38" s="305"/>
      <c r="D38" s="174" t="s">
        <v>61</v>
      </c>
      <c r="E38" s="174" t="s">
        <v>153</v>
      </c>
      <c r="F38" s="174">
        <v>5</v>
      </c>
      <c r="G38" s="176" t="s">
        <v>35</v>
      </c>
      <c r="H38" s="176">
        <v>11</v>
      </c>
      <c r="I38" s="176"/>
      <c r="J38" s="174">
        <v>15</v>
      </c>
      <c r="K38" s="174"/>
      <c r="L38" s="174"/>
      <c r="M38" s="174"/>
      <c r="N38" s="174"/>
      <c r="O38" s="264" t="s">
        <v>536</v>
      </c>
      <c r="P38" s="264"/>
      <c r="Q38" s="174"/>
      <c r="R38" s="174"/>
      <c r="S38" s="174"/>
      <c r="T38" s="174"/>
      <c r="U38" s="174"/>
      <c r="V38" s="174"/>
      <c r="W38" s="174"/>
      <c r="X38" s="174"/>
      <c r="Y38" s="97">
        <v>0.6</v>
      </c>
      <c r="Z38" s="188" t="s">
        <v>536</v>
      </c>
      <c r="AA38" s="188"/>
    </row>
    <row r="39" spans="1:27" s="4" customFormat="1" ht="29.25" customHeight="1" x14ac:dyDescent="0.3">
      <c r="A39" s="528"/>
      <c r="B39" s="423"/>
      <c r="C39" s="305"/>
      <c r="D39" s="225" t="s">
        <v>44</v>
      </c>
      <c r="E39" s="176" t="s">
        <v>169</v>
      </c>
      <c r="F39" s="174">
        <v>5</v>
      </c>
      <c r="G39" s="176" t="s">
        <v>32</v>
      </c>
      <c r="H39" s="174">
        <v>9</v>
      </c>
      <c r="I39" s="174">
        <v>30</v>
      </c>
      <c r="J39" s="174">
        <v>15</v>
      </c>
      <c r="K39" s="174"/>
      <c r="L39" s="174"/>
      <c r="M39" s="174">
        <v>15</v>
      </c>
      <c r="N39" s="174"/>
      <c r="O39" s="264" t="s">
        <v>537</v>
      </c>
      <c r="P39" s="264"/>
      <c r="Q39" s="174"/>
      <c r="R39" s="174"/>
      <c r="S39" s="174"/>
      <c r="T39" s="174"/>
      <c r="U39" s="174"/>
      <c r="V39" s="174"/>
      <c r="W39" s="174"/>
      <c r="X39" s="243"/>
      <c r="Y39" s="97">
        <v>2.1</v>
      </c>
      <c r="Z39" s="188" t="s">
        <v>537</v>
      </c>
      <c r="AA39" s="188"/>
    </row>
    <row r="40" spans="1:27" s="4" customFormat="1" ht="33" customHeight="1" x14ac:dyDescent="0.3">
      <c r="A40" s="528">
        <v>18</v>
      </c>
      <c r="B40" s="423" t="s">
        <v>195</v>
      </c>
      <c r="C40" s="305"/>
      <c r="D40" s="174" t="s">
        <v>44</v>
      </c>
      <c r="E40" s="176" t="s">
        <v>107</v>
      </c>
      <c r="F40" s="176">
        <v>5</v>
      </c>
      <c r="G40" s="176" t="s">
        <v>35</v>
      </c>
      <c r="H40" s="176">
        <v>30</v>
      </c>
      <c r="I40" s="174">
        <v>15</v>
      </c>
      <c r="J40" s="174">
        <v>30</v>
      </c>
      <c r="K40" s="174"/>
      <c r="L40" s="174"/>
      <c r="M40" s="174">
        <v>15</v>
      </c>
      <c r="N40" s="174"/>
      <c r="O40" s="265" t="s">
        <v>492</v>
      </c>
      <c r="P40" s="264"/>
      <c r="Q40" s="174"/>
      <c r="R40" s="174"/>
      <c r="S40" s="174"/>
      <c r="T40" s="174"/>
      <c r="U40" s="174"/>
      <c r="V40" s="174"/>
      <c r="W40" s="174"/>
      <c r="X40" s="243"/>
      <c r="Y40" s="97">
        <v>2.1</v>
      </c>
      <c r="Z40" s="187" t="s">
        <v>492</v>
      </c>
      <c r="AA40" s="188"/>
    </row>
    <row r="41" spans="1:27" s="4" customFormat="1" ht="33" customHeight="1" x14ac:dyDescent="0.3">
      <c r="A41" s="522"/>
      <c r="B41" s="423"/>
      <c r="C41" s="305"/>
      <c r="D41" s="174" t="s">
        <v>44</v>
      </c>
      <c r="E41" s="174" t="s">
        <v>244</v>
      </c>
      <c r="F41" s="175">
        <v>5</v>
      </c>
      <c r="G41" s="176" t="s">
        <v>32</v>
      </c>
      <c r="H41" s="176">
        <v>6</v>
      </c>
      <c r="I41" s="174">
        <v>15</v>
      </c>
      <c r="J41" s="174">
        <v>30</v>
      </c>
      <c r="K41" s="174"/>
      <c r="L41" s="174"/>
      <c r="M41" s="174">
        <v>15</v>
      </c>
      <c r="N41" s="174"/>
      <c r="O41" s="264" t="s">
        <v>538</v>
      </c>
      <c r="P41" s="264"/>
      <c r="Q41" s="174"/>
      <c r="R41" s="174"/>
      <c r="S41" s="174"/>
      <c r="T41" s="174"/>
      <c r="U41" s="174"/>
      <c r="V41" s="174"/>
      <c r="W41" s="174"/>
      <c r="X41" s="243"/>
      <c r="Y41" s="97">
        <v>2.1</v>
      </c>
      <c r="Z41" s="188" t="s">
        <v>538</v>
      </c>
      <c r="AA41" s="188"/>
    </row>
    <row r="42" spans="1:27" s="4" customFormat="1" ht="29.25" customHeight="1" x14ac:dyDescent="0.3">
      <c r="A42" s="521">
        <v>19</v>
      </c>
      <c r="B42" s="518" t="s">
        <v>196</v>
      </c>
      <c r="C42" s="318"/>
      <c r="D42" s="174" t="s">
        <v>44</v>
      </c>
      <c r="E42" s="176" t="s">
        <v>107</v>
      </c>
      <c r="F42" s="176">
        <v>5</v>
      </c>
      <c r="G42" s="176" t="s">
        <v>35</v>
      </c>
      <c r="H42" s="176">
        <v>30</v>
      </c>
      <c r="I42" s="174">
        <v>15</v>
      </c>
      <c r="J42" s="174">
        <v>30</v>
      </c>
      <c r="K42" s="174"/>
      <c r="L42" s="174"/>
      <c r="M42" s="174">
        <v>15</v>
      </c>
      <c r="N42" s="174"/>
      <c r="O42" s="266" t="s">
        <v>539</v>
      </c>
      <c r="P42" s="264"/>
      <c r="Q42" s="174"/>
      <c r="R42" s="174"/>
      <c r="S42" s="174"/>
      <c r="T42" s="174"/>
      <c r="U42" s="174"/>
      <c r="V42" s="174"/>
      <c r="W42" s="174"/>
      <c r="X42" s="243"/>
      <c r="Y42" s="97">
        <v>2.1</v>
      </c>
      <c r="Z42" s="211" t="s">
        <v>539</v>
      </c>
      <c r="AA42" s="188"/>
    </row>
    <row r="43" spans="1:27" s="4" customFormat="1" ht="29.25" customHeight="1" x14ac:dyDescent="0.3">
      <c r="A43" s="522"/>
      <c r="B43" s="519"/>
      <c r="C43" s="319"/>
      <c r="D43" s="174" t="s">
        <v>44</v>
      </c>
      <c r="E43" s="174" t="s">
        <v>244</v>
      </c>
      <c r="F43" s="175">
        <v>5</v>
      </c>
      <c r="G43" s="176" t="s">
        <v>32</v>
      </c>
      <c r="H43" s="176">
        <v>6</v>
      </c>
      <c r="I43" s="174">
        <v>15</v>
      </c>
      <c r="J43" s="174">
        <v>30</v>
      </c>
      <c r="K43" s="174"/>
      <c r="L43" s="174"/>
      <c r="M43" s="174">
        <v>15</v>
      </c>
      <c r="N43" s="174"/>
      <c r="O43" s="264" t="s">
        <v>488</v>
      </c>
      <c r="P43" s="264"/>
      <c r="Q43" s="174"/>
      <c r="R43" s="174"/>
      <c r="S43" s="174"/>
      <c r="T43" s="174"/>
      <c r="U43" s="174"/>
      <c r="V43" s="174"/>
      <c r="W43" s="174"/>
      <c r="X43" s="243"/>
      <c r="Y43" s="97">
        <v>2.1</v>
      </c>
      <c r="Z43" s="188" t="s">
        <v>488</v>
      </c>
      <c r="AA43" s="188"/>
    </row>
    <row r="44" spans="1:27" s="21" customFormat="1" ht="31.5" customHeight="1" x14ac:dyDescent="0.3">
      <c r="A44" s="521">
        <v>20</v>
      </c>
      <c r="B44" s="516" t="s">
        <v>137</v>
      </c>
      <c r="C44" s="326"/>
      <c r="D44" s="174" t="s">
        <v>44</v>
      </c>
      <c r="E44" s="176" t="s">
        <v>107</v>
      </c>
      <c r="F44" s="176">
        <v>5</v>
      </c>
      <c r="G44" s="176" t="s">
        <v>35</v>
      </c>
      <c r="H44" s="176">
        <v>30</v>
      </c>
      <c r="I44" s="174">
        <v>15</v>
      </c>
      <c r="J44" s="174">
        <v>30</v>
      </c>
      <c r="K44" s="174"/>
      <c r="L44" s="174"/>
      <c r="M44" s="174">
        <v>15</v>
      </c>
      <c r="N44" s="174" t="s">
        <v>65</v>
      </c>
      <c r="O44" s="265" t="s">
        <v>494</v>
      </c>
      <c r="P44" s="265"/>
      <c r="Q44" s="174"/>
      <c r="R44" s="174"/>
      <c r="S44" s="174"/>
      <c r="T44" s="174"/>
      <c r="U44" s="174"/>
      <c r="V44" s="174"/>
      <c r="W44" s="174"/>
      <c r="X44" s="243"/>
      <c r="Y44" s="97">
        <v>2.1</v>
      </c>
      <c r="Z44" s="187" t="s">
        <v>494</v>
      </c>
      <c r="AA44" s="187"/>
    </row>
    <row r="45" spans="1:27" s="21" customFormat="1" ht="31.5" customHeight="1" x14ac:dyDescent="0.3">
      <c r="A45" s="522"/>
      <c r="B45" s="517"/>
      <c r="C45" s="327"/>
      <c r="D45" s="174" t="s">
        <v>44</v>
      </c>
      <c r="E45" s="174" t="s">
        <v>244</v>
      </c>
      <c r="F45" s="175">
        <v>5</v>
      </c>
      <c r="G45" s="176" t="s">
        <v>32</v>
      </c>
      <c r="H45" s="176">
        <v>6</v>
      </c>
      <c r="I45" s="174">
        <v>15</v>
      </c>
      <c r="J45" s="174">
        <v>30</v>
      </c>
      <c r="K45" s="174"/>
      <c r="L45" s="174"/>
      <c r="M45" s="174">
        <v>15</v>
      </c>
      <c r="N45" s="174" t="s">
        <v>65</v>
      </c>
      <c r="O45" s="265" t="s">
        <v>495</v>
      </c>
      <c r="P45" s="265"/>
      <c r="Q45" s="174"/>
      <c r="R45" s="174"/>
      <c r="S45" s="174"/>
      <c r="T45" s="174"/>
      <c r="U45" s="174"/>
      <c r="V45" s="174"/>
      <c r="W45" s="174"/>
      <c r="X45" s="243"/>
      <c r="Y45" s="97">
        <v>2.1</v>
      </c>
      <c r="Z45" s="187" t="s">
        <v>495</v>
      </c>
      <c r="AA45" s="187"/>
    </row>
    <row r="46" spans="1:27" s="21" customFormat="1" ht="31.5" customHeight="1" x14ac:dyDescent="0.3">
      <c r="A46" s="521">
        <v>21</v>
      </c>
      <c r="B46" s="404" t="s">
        <v>245</v>
      </c>
      <c r="C46" s="307"/>
      <c r="D46" s="174" t="s">
        <v>44</v>
      </c>
      <c r="E46" s="176" t="s">
        <v>107</v>
      </c>
      <c r="F46" s="176">
        <v>5</v>
      </c>
      <c r="G46" s="176" t="s">
        <v>35</v>
      </c>
      <c r="H46" s="176">
        <v>30</v>
      </c>
      <c r="I46" s="174">
        <v>15</v>
      </c>
      <c r="J46" s="174">
        <v>30</v>
      </c>
      <c r="K46" s="174"/>
      <c r="L46" s="174"/>
      <c r="M46" s="174">
        <v>15</v>
      </c>
      <c r="N46" s="174"/>
      <c r="O46" s="266" t="s">
        <v>539</v>
      </c>
      <c r="P46" s="265"/>
      <c r="Q46" s="174"/>
      <c r="R46" s="174"/>
      <c r="S46" s="174"/>
      <c r="T46" s="174"/>
      <c r="U46" s="174"/>
      <c r="V46" s="174"/>
      <c r="W46" s="174"/>
      <c r="X46" s="243"/>
      <c r="Y46" s="97">
        <v>2.1</v>
      </c>
      <c r="Z46" s="211" t="s">
        <v>539</v>
      </c>
      <c r="AA46" s="187"/>
    </row>
    <row r="47" spans="1:27" s="21" customFormat="1" ht="31.5" customHeight="1" x14ac:dyDescent="0.3">
      <c r="A47" s="522"/>
      <c r="B47" s="431"/>
      <c r="C47" s="308"/>
      <c r="D47" s="174" t="s">
        <v>44</v>
      </c>
      <c r="E47" s="174" t="s">
        <v>244</v>
      </c>
      <c r="F47" s="175">
        <v>5</v>
      </c>
      <c r="G47" s="176" t="s">
        <v>32</v>
      </c>
      <c r="H47" s="176">
        <v>6</v>
      </c>
      <c r="I47" s="174">
        <v>15</v>
      </c>
      <c r="J47" s="174">
        <v>30</v>
      </c>
      <c r="K47" s="174"/>
      <c r="L47" s="174"/>
      <c r="M47" s="174">
        <v>15</v>
      </c>
      <c r="N47" s="174"/>
      <c r="O47" s="228" t="s">
        <v>490</v>
      </c>
      <c r="P47" s="265"/>
      <c r="Q47" s="174"/>
      <c r="R47" s="174"/>
      <c r="S47" s="174"/>
      <c r="T47" s="174"/>
      <c r="U47" s="174"/>
      <c r="V47" s="174"/>
      <c r="W47" s="174"/>
      <c r="X47" s="243"/>
      <c r="Y47" s="97">
        <v>2.1</v>
      </c>
      <c r="Z47" s="184" t="s">
        <v>490</v>
      </c>
      <c r="AA47" s="187"/>
    </row>
    <row r="48" spans="1:27" s="21" customFormat="1" ht="31.5" customHeight="1" x14ac:dyDescent="0.3">
      <c r="A48" s="521">
        <v>22</v>
      </c>
      <c r="B48" s="404" t="s">
        <v>246</v>
      </c>
      <c r="C48" s="307"/>
      <c r="D48" s="174" t="s">
        <v>44</v>
      </c>
      <c r="E48" s="176" t="s">
        <v>107</v>
      </c>
      <c r="F48" s="176">
        <v>5</v>
      </c>
      <c r="G48" s="176" t="s">
        <v>35</v>
      </c>
      <c r="H48" s="176">
        <v>30</v>
      </c>
      <c r="I48" s="174">
        <v>15</v>
      </c>
      <c r="J48" s="174">
        <v>30</v>
      </c>
      <c r="K48" s="174"/>
      <c r="L48" s="174"/>
      <c r="M48" s="174">
        <v>15</v>
      </c>
      <c r="N48" s="174"/>
      <c r="O48" s="265" t="s">
        <v>486</v>
      </c>
      <c r="P48" s="265"/>
      <c r="Q48" s="174"/>
      <c r="R48" s="174"/>
      <c r="S48" s="174"/>
      <c r="T48" s="174"/>
      <c r="U48" s="174"/>
      <c r="V48" s="174"/>
      <c r="W48" s="174"/>
      <c r="X48" s="243"/>
      <c r="Y48" s="97">
        <v>2.1</v>
      </c>
      <c r="Z48" s="187" t="s">
        <v>486</v>
      </c>
      <c r="AA48" s="187"/>
    </row>
    <row r="49" spans="1:28" s="21" customFormat="1" ht="31.5" customHeight="1" x14ac:dyDescent="0.3">
      <c r="A49" s="522"/>
      <c r="B49" s="431"/>
      <c r="C49" s="308"/>
      <c r="D49" s="174" t="s">
        <v>44</v>
      </c>
      <c r="E49" s="174" t="s">
        <v>244</v>
      </c>
      <c r="F49" s="175">
        <v>5</v>
      </c>
      <c r="G49" s="176" t="s">
        <v>32</v>
      </c>
      <c r="H49" s="176">
        <v>6</v>
      </c>
      <c r="I49" s="174">
        <v>15</v>
      </c>
      <c r="J49" s="174">
        <v>30</v>
      </c>
      <c r="K49" s="174"/>
      <c r="L49" s="174"/>
      <c r="M49" s="174">
        <v>15</v>
      </c>
      <c r="N49" s="174"/>
      <c r="O49" s="265" t="s">
        <v>487</v>
      </c>
      <c r="P49" s="265"/>
      <c r="Q49" s="174"/>
      <c r="R49" s="174"/>
      <c r="S49" s="174"/>
      <c r="T49" s="174"/>
      <c r="U49" s="174"/>
      <c r="V49" s="174"/>
      <c r="W49" s="174"/>
      <c r="X49" s="243"/>
      <c r="Y49" s="97">
        <v>2.1</v>
      </c>
      <c r="Z49" s="187" t="s">
        <v>487</v>
      </c>
      <c r="AA49" s="187"/>
    </row>
    <row r="50" spans="1:28" s="18" customFormat="1" ht="25.5" customHeight="1" x14ac:dyDescent="0.3">
      <c r="A50" s="91">
        <v>28</v>
      </c>
      <c r="B50" s="267" t="s">
        <v>252</v>
      </c>
      <c r="C50" s="305"/>
      <c r="D50" s="174" t="s">
        <v>61</v>
      </c>
      <c r="E50" s="174" t="s">
        <v>153</v>
      </c>
      <c r="F50" s="174">
        <v>5</v>
      </c>
      <c r="G50" s="176" t="s">
        <v>35</v>
      </c>
      <c r="H50" s="176">
        <v>11</v>
      </c>
      <c r="I50" s="174">
        <v>15</v>
      </c>
      <c r="J50" s="174">
        <v>30</v>
      </c>
      <c r="K50" s="174"/>
      <c r="L50" s="174"/>
      <c r="M50" s="174">
        <v>15</v>
      </c>
      <c r="N50" s="174"/>
      <c r="O50" s="268" t="s">
        <v>485</v>
      </c>
      <c r="P50" s="269"/>
      <c r="Q50" s="174"/>
      <c r="R50" s="174"/>
      <c r="S50" s="174"/>
      <c r="T50" s="174"/>
      <c r="U50" s="174"/>
      <c r="V50" s="174"/>
      <c r="W50" s="174"/>
      <c r="X50" s="243"/>
      <c r="Y50" s="97">
        <v>2.1</v>
      </c>
      <c r="Z50" s="190" t="s">
        <v>485</v>
      </c>
      <c r="AA50" s="189"/>
    </row>
    <row r="51" spans="1:28" s="18" customFormat="1" ht="25.5" customHeight="1" x14ac:dyDescent="0.3">
      <c r="A51" s="402">
        <v>29</v>
      </c>
      <c r="B51" s="518" t="s">
        <v>179</v>
      </c>
      <c r="C51" s="318"/>
      <c r="D51" s="174" t="s">
        <v>61</v>
      </c>
      <c r="E51" s="174" t="s">
        <v>177</v>
      </c>
      <c r="F51" s="174">
        <v>5</v>
      </c>
      <c r="G51" s="176" t="s">
        <v>35</v>
      </c>
      <c r="H51" s="176">
        <v>27</v>
      </c>
      <c r="I51" s="174">
        <v>15</v>
      </c>
      <c r="J51" s="174">
        <v>30</v>
      </c>
      <c r="K51" s="174"/>
      <c r="L51" s="174"/>
      <c r="M51" s="174">
        <v>15</v>
      </c>
      <c r="N51" s="174"/>
      <c r="O51" s="268" t="s">
        <v>491</v>
      </c>
      <c r="P51" s="269"/>
      <c r="Q51" s="174"/>
      <c r="R51" s="174"/>
      <c r="S51" s="174"/>
      <c r="T51" s="174"/>
      <c r="U51" s="174"/>
      <c r="V51" s="174"/>
      <c r="W51" s="174"/>
      <c r="X51" s="243"/>
      <c r="Y51" s="97">
        <v>2.1</v>
      </c>
      <c r="Z51" s="190" t="s">
        <v>491</v>
      </c>
      <c r="AA51" s="189"/>
    </row>
    <row r="52" spans="1:28" s="18" customFormat="1" ht="25.5" customHeight="1" x14ac:dyDescent="0.3">
      <c r="A52" s="493"/>
      <c r="B52" s="520"/>
      <c r="C52" s="323"/>
      <c r="D52" s="174" t="s">
        <v>61</v>
      </c>
      <c r="E52" s="174" t="s">
        <v>178</v>
      </c>
      <c r="F52" s="174">
        <v>5</v>
      </c>
      <c r="G52" s="176" t="s">
        <v>32</v>
      </c>
      <c r="H52" s="176">
        <v>7</v>
      </c>
      <c r="I52" s="174">
        <v>15</v>
      </c>
      <c r="J52" s="174">
        <v>30</v>
      </c>
      <c r="K52" s="174"/>
      <c r="L52" s="174"/>
      <c r="M52" s="174">
        <v>15</v>
      </c>
      <c r="N52" s="174"/>
      <c r="O52" s="228" t="s">
        <v>490</v>
      </c>
      <c r="P52" s="269"/>
      <c r="Q52" s="174"/>
      <c r="R52" s="174"/>
      <c r="S52" s="174"/>
      <c r="T52" s="174"/>
      <c r="U52" s="174"/>
      <c r="V52" s="174"/>
      <c r="W52" s="174"/>
      <c r="X52" s="243"/>
      <c r="Y52" s="97">
        <v>2.1</v>
      </c>
      <c r="Z52" s="184" t="s">
        <v>490</v>
      </c>
      <c r="AA52" s="189"/>
    </row>
    <row r="53" spans="1:28" s="18" customFormat="1" ht="25.5" customHeight="1" x14ac:dyDescent="0.3">
      <c r="A53" s="402">
        <v>30</v>
      </c>
      <c r="B53" s="518" t="s">
        <v>180</v>
      </c>
      <c r="C53" s="318"/>
      <c r="D53" s="174" t="s">
        <v>61</v>
      </c>
      <c r="E53" s="174" t="s">
        <v>177</v>
      </c>
      <c r="F53" s="174">
        <v>5</v>
      </c>
      <c r="G53" s="176" t="s">
        <v>35</v>
      </c>
      <c r="H53" s="176">
        <v>27</v>
      </c>
      <c r="I53" s="174">
        <v>15</v>
      </c>
      <c r="J53" s="174">
        <v>30</v>
      </c>
      <c r="K53" s="174"/>
      <c r="L53" s="174"/>
      <c r="M53" s="174">
        <v>15</v>
      </c>
      <c r="N53" s="174"/>
      <c r="O53" s="268" t="s">
        <v>491</v>
      </c>
      <c r="P53" s="269"/>
      <c r="Q53" s="174"/>
      <c r="R53" s="174"/>
      <c r="S53" s="174"/>
      <c r="T53" s="174"/>
      <c r="U53" s="174"/>
      <c r="V53" s="174"/>
      <c r="W53" s="174"/>
      <c r="X53" s="243"/>
      <c r="Y53" s="97">
        <v>2.1</v>
      </c>
      <c r="Z53" s="190" t="s">
        <v>491</v>
      </c>
      <c r="AA53" s="189"/>
    </row>
    <row r="54" spans="1:28" s="18" customFormat="1" ht="25.5" customHeight="1" x14ac:dyDescent="0.3">
      <c r="A54" s="403"/>
      <c r="B54" s="519"/>
      <c r="C54" s="319"/>
      <c r="D54" s="174" t="s">
        <v>61</v>
      </c>
      <c r="E54" s="174" t="s">
        <v>178</v>
      </c>
      <c r="F54" s="174">
        <v>5</v>
      </c>
      <c r="G54" s="176" t="s">
        <v>32</v>
      </c>
      <c r="H54" s="176">
        <v>7</v>
      </c>
      <c r="I54" s="174">
        <v>15</v>
      </c>
      <c r="J54" s="174">
        <v>30</v>
      </c>
      <c r="K54" s="174"/>
      <c r="L54" s="174"/>
      <c r="M54" s="174">
        <v>15</v>
      </c>
      <c r="N54" s="174"/>
      <c r="O54" s="269" t="s">
        <v>490</v>
      </c>
      <c r="P54" s="269"/>
      <c r="Q54" s="174"/>
      <c r="R54" s="174"/>
      <c r="S54" s="174"/>
      <c r="T54" s="174"/>
      <c r="U54" s="174"/>
      <c r="V54" s="174"/>
      <c r="W54" s="174"/>
      <c r="X54" s="243"/>
      <c r="Y54" s="97">
        <v>2.1</v>
      </c>
      <c r="Z54" s="189" t="s">
        <v>490</v>
      </c>
      <c r="AA54" s="189"/>
    </row>
    <row r="55" spans="1:28" s="18" customFormat="1" ht="25.5" customHeight="1" x14ac:dyDescent="0.3">
      <c r="A55" s="402">
        <v>31</v>
      </c>
      <c r="B55" s="518" t="s">
        <v>193</v>
      </c>
      <c r="C55" s="318"/>
      <c r="D55" s="174" t="s">
        <v>61</v>
      </c>
      <c r="E55" s="174" t="s">
        <v>177</v>
      </c>
      <c r="F55" s="174">
        <v>5</v>
      </c>
      <c r="G55" s="176" t="s">
        <v>35</v>
      </c>
      <c r="H55" s="176">
        <v>27</v>
      </c>
      <c r="I55" s="174">
        <v>15</v>
      </c>
      <c r="J55" s="174">
        <v>30</v>
      </c>
      <c r="K55" s="174"/>
      <c r="L55" s="174"/>
      <c r="M55" s="174">
        <v>15</v>
      </c>
      <c r="N55" s="174"/>
      <c r="O55" s="269" t="s">
        <v>491</v>
      </c>
      <c r="P55" s="269"/>
      <c r="Q55" s="174"/>
      <c r="R55" s="174"/>
      <c r="S55" s="174"/>
      <c r="T55" s="174"/>
      <c r="U55" s="174"/>
      <c r="V55" s="174"/>
      <c r="W55" s="174"/>
      <c r="X55" s="243"/>
      <c r="Y55" s="97">
        <v>2.1</v>
      </c>
      <c r="Z55" s="189" t="s">
        <v>491</v>
      </c>
      <c r="AA55" s="189"/>
    </row>
    <row r="56" spans="1:28" s="18" customFormat="1" ht="25.5" customHeight="1" x14ac:dyDescent="0.3">
      <c r="A56" s="403"/>
      <c r="B56" s="519"/>
      <c r="C56" s="319"/>
      <c r="D56" s="174" t="s">
        <v>61</v>
      </c>
      <c r="E56" s="174" t="s">
        <v>178</v>
      </c>
      <c r="F56" s="174">
        <v>5</v>
      </c>
      <c r="G56" s="176" t="s">
        <v>32</v>
      </c>
      <c r="H56" s="176">
        <v>7</v>
      </c>
      <c r="I56" s="174">
        <v>15</v>
      </c>
      <c r="J56" s="174">
        <v>30</v>
      </c>
      <c r="K56" s="174"/>
      <c r="L56" s="174"/>
      <c r="M56" s="174">
        <v>15</v>
      </c>
      <c r="N56" s="174"/>
      <c r="O56" s="268" t="s">
        <v>489</v>
      </c>
      <c r="P56" s="269"/>
      <c r="Q56" s="174"/>
      <c r="R56" s="174"/>
      <c r="S56" s="174"/>
      <c r="T56" s="174"/>
      <c r="U56" s="174"/>
      <c r="V56" s="174"/>
      <c r="W56" s="174"/>
      <c r="X56" s="243"/>
      <c r="Y56" s="97">
        <v>2.1</v>
      </c>
      <c r="Z56" s="190" t="s">
        <v>489</v>
      </c>
      <c r="AA56" s="189"/>
    </row>
    <row r="57" spans="1:28" s="18" customFormat="1" ht="28.5" customHeight="1" x14ac:dyDescent="0.3">
      <c r="A57" s="488">
        <v>33</v>
      </c>
      <c r="B57" s="423" t="s">
        <v>54</v>
      </c>
      <c r="C57" s="305"/>
      <c r="D57" s="174" t="s">
        <v>61</v>
      </c>
      <c r="E57" s="174" t="s">
        <v>177</v>
      </c>
      <c r="F57" s="174">
        <v>5</v>
      </c>
      <c r="G57" s="176" t="s">
        <v>35</v>
      </c>
      <c r="H57" s="176">
        <v>27</v>
      </c>
      <c r="I57" s="174">
        <v>15</v>
      </c>
      <c r="J57" s="174">
        <v>30</v>
      </c>
      <c r="K57" s="174"/>
      <c r="L57" s="174"/>
      <c r="M57" s="174">
        <v>15</v>
      </c>
      <c r="N57" s="174"/>
      <c r="O57" s="268" t="s">
        <v>491</v>
      </c>
      <c r="P57" s="269"/>
      <c r="Q57" s="174"/>
      <c r="R57" s="174"/>
      <c r="S57" s="174"/>
      <c r="T57" s="174"/>
      <c r="U57" s="174"/>
      <c r="V57" s="174"/>
      <c r="W57" s="174"/>
      <c r="X57" s="243"/>
      <c r="Y57" s="97">
        <v>2.1</v>
      </c>
      <c r="Z57" s="190" t="s">
        <v>491</v>
      </c>
      <c r="AA57" s="189"/>
    </row>
    <row r="58" spans="1:28" s="18" customFormat="1" ht="28.5" customHeight="1" x14ac:dyDescent="0.3">
      <c r="A58" s="488"/>
      <c r="B58" s="423"/>
      <c r="C58" s="305"/>
      <c r="D58" s="174" t="s">
        <v>61</v>
      </c>
      <c r="E58" s="174" t="s">
        <v>178</v>
      </c>
      <c r="F58" s="174">
        <v>5</v>
      </c>
      <c r="G58" s="176" t="s">
        <v>32</v>
      </c>
      <c r="H58" s="176">
        <v>7</v>
      </c>
      <c r="I58" s="174">
        <v>15</v>
      </c>
      <c r="J58" s="174">
        <v>30</v>
      </c>
      <c r="K58" s="174"/>
      <c r="L58" s="174"/>
      <c r="M58" s="174">
        <v>15</v>
      </c>
      <c r="N58" s="174"/>
      <c r="O58" s="268" t="s">
        <v>489</v>
      </c>
      <c r="P58" s="269"/>
      <c r="Q58" s="174"/>
      <c r="R58" s="174"/>
      <c r="S58" s="174"/>
      <c r="T58" s="174"/>
      <c r="U58" s="174"/>
      <c r="V58" s="174"/>
      <c r="W58" s="174"/>
      <c r="X58" s="243"/>
      <c r="Y58" s="97">
        <v>2.1</v>
      </c>
      <c r="Z58" s="190" t="s">
        <v>489</v>
      </c>
      <c r="AA58" s="189"/>
    </row>
    <row r="59" spans="1:28" s="18" customFormat="1" ht="28.5" customHeight="1" x14ac:dyDescent="0.3">
      <c r="A59" s="402">
        <v>34</v>
      </c>
      <c r="B59" s="518" t="s">
        <v>55</v>
      </c>
      <c r="C59" s="318"/>
      <c r="D59" s="174" t="s">
        <v>61</v>
      </c>
      <c r="E59" s="174" t="s">
        <v>177</v>
      </c>
      <c r="F59" s="174">
        <v>5</v>
      </c>
      <c r="G59" s="176" t="s">
        <v>35</v>
      </c>
      <c r="H59" s="176">
        <v>27</v>
      </c>
      <c r="I59" s="174">
        <v>15</v>
      </c>
      <c r="J59" s="174">
        <v>30</v>
      </c>
      <c r="K59" s="174"/>
      <c r="L59" s="174"/>
      <c r="M59" s="174">
        <v>15</v>
      </c>
      <c r="N59" s="174"/>
      <c r="O59" s="268" t="s">
        <v>491</v>
      </c>
      <c r="P59" s="269"/>
      <c r="Q59" s="174"/>
      <c r="R59" s="174"/>
      <c r="S59" s="174"/>
      <c r="T59" s="174"/>
      <c r="U59" s="174"/>
      <c r="V59" s="174"/>
      <c r="W59" s="174"/>
      <c r="X59" s="243"/>
      <c r="Y59" s="97">
        <v>2.1</v>
      </c>
      <c r="Z59" s="190" t="s">
        <v>491</v>
      </c>
      <c r="AA59" s="189"/>
    </row>
    <row r="60" spans="1:28" s="18" customFormat="1" ht="28.5" customHeight="1" x14ac:dyDescent="0.3">
      <c r="A60" s="403"/>
      <c r="B60" s="519"/>
      <c r="C60" s="319"/>
      <c r="D60" s="270" t="s">
        <v>61</v>
      </c>
      <c r="E60" s="270" t="s">
        <v>178</v>
      </c>
      <c r="F60" s="270">
        <v>5</v>
      </c>
      <c r="G60" s="242" t="s">
        <v>32</v>
      </c>
      <c r="H60" s="242">
        <v>7</v>
      </c>
      <c r="I60" s="270">
        <v>15</v>
      </c>
      <c r="J60" s="270">
        <v>30</v>
      </c>
      <c r="K60" s="270"/>
      <c r="L60" s="270"/>
      <c r="M60" s="270">
        <v>15</v>
      </c>
      <c r="N60" s="270"/>
      <c r="O60" s="268" t="s">
        <v>489</v>
      </c>
      <c r="P60" s="269"/>
      <c r="Q60" s="270"/>
      <c r="R60" s="270"/>
      <c r="S60" s="270"/>
      <c r="T60" s="270"/>
      <c r="U60" s="270"/>
      <c r="V60" s="270"/>
      <c r="W60" s="270"/>
      <c r="X60" s="271"/>
      <c r="Y60" s="213">
        <v>2.1</v>
      </c>
      <c r="Z60" s="190" t="s">
        <v>489</v>
      </c>
      <c r="AA60" s="189"/>
    </row>
    <row r="61" spans="1:28" s="18" customFormat="1" ht="28.5" customHeight="1" x14ac:dyDescent="0.25">
      <c r="A61" s="458"/>
      <c r="B61" s="427" t="s">
        <v>346</v>
      </c>
      <c r="C61" s="306"/>
      <c r="D61" s="225" t="s">
        <v>52</v>
      </c>
      <c r="E61" s="176" t="s">
        <v>303</v>
      </c>
      <c r="F61" s="174">
        <v>4</v>
      </c>
      <c r="G61" s="176" t="s">
        <v>35</v>
      </c>
      <c r="H61" s="176">
        <v>30</v>
      </c>
      <c r="I61" s="176">
        <v>30</v>
      </c>
      <c r="J61" s="257"/>
      <c r="K61" s="257"/>
      <c r="L61" s="257"/>
      <c r="M61" s="257"/>
      <c r="N61" s="228" t="s">
        <v>485</v>
      </c>
      <c r="O61" s="228" t="s">
        <v>485</v>
      </c>
      <c r="P61" s="229"/>
      <c r="Q61" s="257"/>
      <c r="R61" s="257"/>
      <c r="S61" s="257"/>
      <c r="T61" s="257"/>
      <c r="U61" s="257"/>
      <c r="V61" s="257"/>
      <c r="W61" s="257"/>
      <c r="X61" s="257"/>
      <c r="Y61" s="205"/>
      <c r="Z61" s="185" t="s">
        <v>485</v>
      </c>
      <c r="AA61" s="17"/>
      <c r="AB61" s="17"/>
    </row>
    <row r="62" spans="1:28" s="18" customFormat="1" ht="28.5" customHeight="1" x14ac:dyDescent="0.25">
      <c r="A62" s="458"/>
      <c r="B62" s="427"/>
      <c r="C62" s="306"/>
      <c r="D62" s="225" t="s">
        <v>52</v>
      </c>
      <c r="E62" s="176" t="s">
        <v>321</v>
      </c>
      <c r="F62" s="174">
        <v>4</v>
      </c>
      <c r="G62" s="176" t="s">
        <v>35</v>
      </c>
      <c r="H62" s="176">
        <v>29</v>
      </c>
      <c r="I62" s="176"/>
      <c r="J62" s="257"/>
      <c r="K62" s="257"/>
      <c r="L62" s="257"/>
      <c r="M62" s="257"/>
      <c r="N62" s="228" t="s">
        <v>485</v>
      </c>
      <c r="O62" s="228" t="s">
        <v>485</v>
      </c>
      <c r="P62" s="229"/>
      <c r="Q62" s="257"/>
      <c r="R62" s="257"/>
      <c r="S62" s="257"/>
      <c r="T62" s="257"/>
      <c r="U62" s="257"/>
      <c r="V62" s="257"/>
      <c r="W62" s="257"/>
      <c r="X62" s="257"/>
      <c r="Y62" s="205"/>
      <c r="Z62" s="185" t="s">
        <v>485</v>
      </c>
      <c r="AA62" s="17"/>
      <c r="AB62" s="17"/>
    </row>
    <row r="63" spans="1:28" s="18" customFormat="1" ht="28.5" customHeight="1" x14ac:dyDescent="0.25">
      <c r="A63" s="458"/>
      <c r="B63" s="427"/>
      <c r="C63" s="306"/>
      <c r="D63" s="174" t="s">
        <v>170</v>
      </c>
      <c r="E63" s="174" t="s">
        <v>540</v>
      </c>
      <c r="F63" s="174">
        <v>4</v>
      </c>
      <c r="G63" s="174" t="s">
        <v>35</v>
      </c>
      <c r="H63" s="176">
        <v>25</v>
      </c>
      <c r="I63" s="176"/>
      <c r="J63" s="257"/>
      <c r="K63" s="257"/>
      <c r="L63" s="257"/>
      <c r="M63" s="257"/>
      <c r="N63" s="228" t="s">
        <v>485</v>
      </c>
      <c r="O63" s="228" t="s">
        <v>485</v>
      </c>
      <c r="P63" s="229"/>
      <c r="Q63" s="257"/>
      <c r="R63" s="257"/>
      <c r="S63" s="257"/>
      <c r="T63" s="257"/>
      <c r="U63" s="257"/>
      <c r="V63" s="257"/>
      <c r="W63" s="257"/>
      <c r="X63" s="257"/>
      <c r="Y63" s="205"/>
      <c r="Z63" s="185" t="s">
        <v>485</v>
      </c>
      <c r="AA63" s="17"/>
      <c r="AB63" s="17"/>
    </row>
    <row r="64" spans="1:28" s="18" customFormat="1" ht="28.5" customHeight="1" x14ac:dyDescent="0.25">
      <c r="A64" s="458"/>
      <c r="B64" s="427"/>
      <c r="C64" s="306"/>
      <c r="D64" s="174" t="s">
        <v>170</v>
      </c>
      <c r="E64" s="174" t="s">
        <v>541</v>
      </c>
      <c r="F64" s="174">
        <v>4</v>
      </c>
      <c r="G64" s="174" t="s">
        <v>35</v>
      </c>
      <c r="H64" s="176">
        <v>30</v>
      </c>
      <c r="I64" s="176"/>
      <c r="J64" s="257"/>
      <c r="K64" s="257"/>
      <c r="L64" s="257"/>
      <c r="M64" s="257"/>
      <c r="N64" s="228" t="s">
        <v>485</v>
      </c>
      <c r="O64" s="228" t="s">
        <v>485</v>
      </c>
      <c r="P64" s="229"/>
      <c r="Q64" s="257"/>
      <c r="R64" s="257"/>
      <c r="S64" s="257"/>
      <c r="T64" s="257"/>
      <c r="U64" s="257"/>
      <c r="V64" s="257"/>
      <c r="W64" s="257"/>
      <c r="X64" s="257"/>
      <c r="Y64" s="205"/>
      <c r="Z64" s="185" t="s">
        <v>485</v>
      </c>
      <c r="AA64" s="17"/>
      <c r="AB64" s="17"/>
    </row>
    <row r="65" spans="1:28" s="18" customFormat="1" ht="28.5" customHeight="1" x14ac:dyDescent="0.25">
      <c r="A65" s="458"/>
      <c r="B65" s="427"/>
      <c r="C65" s="306"/>
      <c r="D65" s="174" t="s">
        <v>170</v>
      </c>
      <c r="E65" s="174" t="s">
        <v>542</v>
      </c>
      <c r="F65" s="174">
        <v>4</v>
      </c>
      <c r="G65" s="174" t="s">
        <v>35</v>
      </c>
      <c r="H65" s="176">
        <v>30</v>
      </c>
      <c r="I65" s="176"/>
      <c r="J65" s="257"/>
      <c r="K65" s="257"/>
      <c r="L65" s="257"/>
      <c r="M65" s="257"/>
      <c r="N65" s="228" t="s">
        <v>485</v>
      </c>
      <c r="O65" s="228" t="s">
        <v>485</v>
      </c>
      <c r="P65" s="229"/>
      <c r="Q65" s="257"/>
      <c r="R65" s="257"/>
      <c r="S65" s="257"/>
      <c r="T65" s="257"/>
      <c r="U65" s="257"/>
      <c r="V65" s="257"/>
      <c r="W65" s="257"/>
      <c r="X65" s="257"/>
      <c r="Y65" s="205"/>
      <c r="Z65" s="185" t="s">
        <v>485</v>
      </c>
      <c r="AA65" s="17"/>
      <c r="AB65" s="17"/>
    </row>
    <row r="66" spans="1:28" s="18" customFormat="1" ht="28.5" customHeight="1" x14ac:dyDescent="0.3">
      <c r="A66" s="458"/>
      <c r="B66" s="427"/>
      <c r="C66" s="306"/>
      <c r="D66" s="225" t="s">
        <v>52</v>
      </c>
      <c r="E66" s="176" t="s">
        <v>303</v>
      </c>
      <c r="F66" s="174">
        <v>4</v>
      </c>
      <c r="G66" s="176" t="s">
        <v>35</v>
      </c>
      <c r="H66" s="176">
        <v>30</v>
      </c>
      <c r="I66" s="176"/>
      <c r="J66" s="174">
        <v>15</v>
      </c>
      <c r="K66" s="174"/>
      <c r="L66" s="174"/>
      <c r="M66" s="174">
        <v>8</v>
      </c>
      <c r="N66" s="269" t="s">
        <v>535</v>
      </c>
      <c r="O66" s="269" t="s">
        <v>535</v>
      </c>
      <c r="P66" s="272"/>
      <c r="Q66" s="230"/>
      <c r="R66" s="230"/>
      <c r="S66" s="230"/>
      <c r="T66" s="231"/>
      <c r="U66" s="174"/>
      <c r="V66" s="174"/>
      <c r="W66" s="174"/>
      <c r="X66" s="174"/>
      <c r="Y66" s="100">
        <v>1.9</v>
      </c>
      <c r="Z66" s="189" t="s">
        <v>535</v>
      </c>
    </row>
    <row r="67" spans="1:28" s="18" customFormat="1" ht="28.5" customHeight="1" x14ac:dyDescent="0.3">
      <c r="A67" s="458"/>
      <c r="B67" s="427"/>
      <c r="C67" s="306"/>
      <c r="D67" s="225" t="s">
        <v>52</v>
      </c>
      <c r="E67" s="176" t="s">
        <v>321</v>
      </c>
      <c r="F67" s="174">
        <v>4</v>
      </c>
      <c r="G67" s="176" t="s">
        <v>35</v>
      </c>
      <c r="H67" s="176">
        <v>29</v>
      </c>
      <c r="I67" s="176"/>
      <c r="J67" s="174">
        <v>15</v>
      </c>
      <c r="K67" s="174"/>
      <c r="L67" s="174"/>
      <c r="M67" s="174"/>
      <c r="N67" s="269" t="s">
        <v>535</v>
      </c>
      <c r="O67" s="269" t="s">
        <v>535</v>
      </c>
      <c r="P67" s="272"/>
      <c r="Q67" s="230"/>
      <c r="R67" s="230"/>
      <c r="S67" s="230"/>
      <c r="T67" s="231"/>
      <c r="U67" s="174"/>
      <c r="V67" s="174"/>
      <c r="W67" s="174"/>
      <c r="X67" s="174"/>
      <c r="Y67" s="100">
        <v>0.6</v>
      </c>
      <c r="Z67" s="189" t="s">
        <v>535</v>
      </c>
    </row>
    <row r="68" spans="1:28" s="18" customFormat="1" ht="28.5" customHeight="1" x14ac:dyDescent="0.3">
      <c r="A68" s="458"/>
      <c r="B68" s="427"/>
      <c r="C68" s="306"/>
      <c r="D68" s="174" t="s">
        <v>170</v>
      </c>
      <c r="E68" s="174" t="s">
        <v>540</v>
      </c>
      <c r="F68" s="174">
        <v>4</v>
      </c>
      <c r="G68" s="174" t="s">
        <v>35</v>
      </c>
      <c r="H68" s="176">
        <v>25</v>
      </c>
      <c r="I68" s="176"/>
      <c r="J68" s="174">
        <v>15</v>
      </c>
      <c r="K68" s="174"/>
      <c r="L68" s="174"/>
      <c r="M68" s="174"/>
      <c r="N68" s="269" t="s">
        <v>535</v>
      </c>
      <c r="O68" s="269" t="s">
        <v>535</v>
      </c>
      <c r="P68" s="272"/>
      <c r="Q68" s="230"/>
      <c r="R68" s="230"/>
      <c r="S68" s="230"/>
      <c r="T68" s="231"/>
      <c r="U68" s="174"/>
      <c r="V68" s="174"/>
      <c r="W68" s="174"/>
      <c r="X68" s="174"/>
      <c r="Y68" s="100">
        <v>0.6</v>
      </c>
      <c r="Z68" s="189" t="s">
        <v>535</v>
      </c>
    </row>
    <row r="69" spans="1:28" s="18" customFormat="1" ht="28.5" customHeight="1" x14ac:dyDescent="0.3">
      <c r="A69" s="458"/>
      <c r="B69" s="427"/>
      <c r="C69" s="306"/>
      <c r="D69" s="174" t="s">
        <v>170</v>
      </c>
      <c r="E69" s="174" t="s">
        <v>541</v>
      </c>
      <c r="F69" s="174">
        <v>4</v>
      </c>
      <c r="G69" s="174" t="s">
        <v>35</v>
      </c>
      <c r="H69" s="176">
        <v>30</v>
      </c>
      <c r="I69" s="176"/>
      <c r="J69" s="174">
        <v>15</v>
      </c>
      <c r="K69" s="174"/>
      <c r="L69" s="174"/>
      <c r="M69" s="174"/>
      <c r="N69" s="269" t="s">
        <v>535</v>
      </c>
      <c r="O69" s="269" t="s">
        <v>535</v>
      </c>
      <c r="P69" s="272"/>
      <c r="Q69" s="230"/>
      <c r="R69" s="230"/>
      <c r="S69" s="230"/>
      <c r="T69" s="231"/>
      <c r="U69" s="174"/>
      <c r="V69" s="174"/>
      <c r="W69" s="174"/>
      <c r="X69" s="174"/>
      <c r="Y69" s="100">
        <v>0.6</v>
      </c>
      <c r="Z69" s="189" t="s">
        <v>535</v>
      </c>
    </row>
    <row r="70" spans="1:28" s="18" customFormat="1" ht="28.5" customHeight="1" x14ac:dyDescent="0.3">
      <c r="A70" s="458"/>
      <c r="B70" s="427"/>
      <c r="C70" s="306"/>
      <c r="D70" s="174" t="s">
        <v>170</v>
      </c>
      <c r="E70" s="174" t="s">
        <v>542</v>
      </c>
      <c r="F70" s="174">
        <v>4</v>
      </c>
      <c r="G70" s="174" t="s">
        <v>35</v>
      </c>
      <c r="H70" s="176">
        <v>30</v>
      </c>
      <c r="I70" s="176"/>
      <c r="J70" s="174">
        <v>15</v>
      </c>
      <c r="K70" s="174"/>
      <c r="L70" s="174"/>
      <c r="M70" s="174"/>
      <c r="N70" s="269" t="s">
        <v>535</v>
      </c>
      <c r="O70" s="269" t="s">
        <v>535</v>
      </c>
      <c r="P70" s="272"/>
      <c r="Q70" s="230"/>
      <c r="R70" s="230"/>
      <c r="S70" s="230"/>
      <c r="T70" s="231"/>
      <c r="U70" s="174"/>
      <c r="V70" s="174"/>
      <c r="W70" s="174"/>
      <c r="X70" s="174"/>
      <c r="Y70" s="100">
        <v>0.6</v>
      </c>
      <c r="Z70" s="189" t="s">
        <v>535</v>
      </c>
    </row>
    <row r="71" spans="1:28" s="18" customFormat="1" ht="28.5" customHeight="1" x14ac:dyDescent="0.3">
      <c r="A71" s="458"/>
      <c r="B71" s="427"/>
      <c r="C71" s="306"/>
      <c r="D71" s="174" t="s">
        <v>170</v>
      </c>
      <c r="E71" s="174" t="s">
        <v>294</v>
      </c>
      <c r="F71" s="174">
        <v>4</v>
      </c>
      <c r="G71" s="174" t="s">
        <v>35</v>
      </c>
      <c r="H71" s="176">
        <v>25</v>
      </c>
      <c r="I71" s="395">
        <v>30</v>
      </c>
      <c r="J71" s="174"/>
      <c r="K71" s="174"/>
      <c r="L71" s="174"/>
      <c r="M71" s="174"/>
      <c r="N71" s="269" t="s">
        <v>536</v>
      </c>
      <c r="O71" s="269" t="s">
        <v>536</v>
      </c>
      <c r="P71" s="272"/>
      <c r="Q71" s="230"/>
      <c r="R71" s="230"/>
      <c r="S71" s="230"/>
      <c r="T71" s="231"/>
      <c r="U71" s="174"/>
      <c r="V71" s="174"/>
      <c r="W71" s="174"/>
      <c r="X71" s="174"/>
      <c r="Y71" s="100"/>
      <c r="Z71" s="189" t="s">
        <v>536</v>
      </c>
    </row>
    <row r="72" spans="1:28" s="18" customFormat="1" ht="28.5" customHeight="1" x14ac:dyDescent="0.3">
      <c r="A72" s="458"/>
      <c r="B72" s="427"/>
      <c r="C72" s="306"/>
      <c r="D72" s="174" t="s">
        <v>170</v>
      </c>
      <c r="E72" s="174" t="s">
        <v>531</v>
      </c>
      <c r="F72" s="174">
        <v>4</v>
      </c>
      <c r="G72" s="174" t="s">
        <v>35</v>
      </c>
      <c r="H72" s="176">
        <v>25</v>
      </c>
      <c r="I72" s="396"/>
      <c r="J72" s="174"/>
      <c r="K72" s="174"/>
      <c r="L72" s="174"/>
      <c r="M72" s="174"/>
      <c r="N72" s="269" t="s">
        <v>536</v>
      </c>
      <c r="O72" s="269" t="s">
        <v>536</v>
      </c>
      <c r="P72" s="272"/>
      <c r="Q72" s="230"/>
      <c r="R72" s="230"/>
      <c r="S72" s="230"/>
      <c r="T72" s="231"/>
      <c r="U72" s="174"/>
      <c r="V72" s="174"/>
      <c r="W72" s="174"/>
      <c r="X72" s="174"/>
      <c r="Y72" s="100"/>
      <c r="Z72" s="189" t="s">
        <v>536</v>
      </c>
    </row>
    <row r="73" spans="1:28" s="18" customFormat="1" ht="28.5" customHeight="1" x14ac:dyDescent="0.3">
      <c r="A73" s="458"/>
      <c r="B73" s="427"/>
      <c r="C73" s="306"/>
      <c r="D73" s="174" t="s">
        <v>61</v>
      </c>
      <c r="E73" s="174" t="s">
        <v>298</v>
      </c>
      <c r="F73" s="174">
        <v>4</v>
      </c>
      <c r="G73" s="176" t="s">
        <v>35</v>
      </c>
      <c r="H73" s="176">
        <v>14</v>
      </c>
      <c r="I73" s="396"/>
      <c r="J73" s="174"/>
      <c r="K73" s="174"/>
      <c r="L73" s="174"/>
      <c r="M73" s="174"/>
      <c r="N73" s="269" t="s">
        <v>536</v>
      </c>
      <c r="O73" s="269" t="s">
        <v>536</v>
      </c>
      <c r="P73" s="272"/>
      <c r="Q73" s="230"/>
      <c r="R73" s="230"/>
      <c r="S73" s="230"/>
      <c r="T73" s="231"/>
      <c r="U73" s="174"/>
      <c r="V73" s="174"/>
      <c r="W73" s="174"/>
      <c r="X73" s="174"/>
      <c r="Y73" s="100"/>
      <c r="Z73" s="189" t="s">
        <v>536</v>
      </c>
    </row>
    <row r="74" spans="1:28" s="18" customFormat="1" ht="28.5" customHeight="1" x14ac:dyDescent="0.3">
      <c r="A74" s="458"/>
      <c r="B74" s="427"/>
      <c r="C74" s="306"/>
      <c r="D74" s="176" t="s">
        <v>210</v>
      </c>
      <c r="E74" s="176" t="s">
        <v>293</v>
      </c>
      <c r="F74" s="174">
        <v>4</v>
      </c>
      <c r="G74" s="176" t="s">
        <v>35</v>
      </c>
      <c r="H74" s="176">
        <v>15</v>
      </c>
      <c r="I74" s="396"/>
      <c r="J74" s="174"/>
      <c r="K74" s="174"/>
      <c r="L74" s="174"/>
      <c r="M74" s="174"/>
      <c r="N74" s="269" t="s">
        <v>536</v>
      </c>
      <c r="O74" s="269" t="s">
        <v>536</v>
      </c>
      <c r="P74" s="272"/>
      <c r="Q74" s="230"/>
      <c r="R74" s="230"/>
      <c r="S74" s="230"/>
      <c r="T74" s="231"/>
      <c r="U74" s="174"/>
      <c r="V74" s="174"/>
      <c r="W74" s="174"/>
      <c r="X74" s="174"/>
      <c r="Y74" s="100"/>
      <c r="Z74" s="189" t="s">
        <v>536</v>
      </c>
    </row>
    <row r="75" spans="1:28" s="18" customFormat="1" ht="28.5" customHeight="1" x14ac:dyDescent="0.3">
      <c r="A75" s="458"/>
      <c r="B75" s="427"/>
      <c r="C75" s="306"/>
      <c r="D75" s="225" t="s">
        <v>44</v>
      </c>
      <c r="E75" s="176" t="s">
        <v>297</v>
      </c>
      <c r="F75" s="174">
        <v>4</v>
      </c>
      <c r="G75" s="176" t="s">
        <v>35</v>
      </c>
      <c r="H75" s="176">
        <v>30</v>
      </c>
      <c r="I75" s="396"/>
      <c r="J75" s="174"/>
      <c r="K75" s="174"/>
      <c r="L75" s="174"/>
      <c r="M75" s="174"/>
      <c r="N75" s="269" t="s">
        <v>536</v>
      </c>
      <c r="O75" s="269" t="s">
        <v>536</v>
      </c>
      <c r="P75" s="272"/>
      <c r="Q75" s="230"/>
      <c r="R75" s="230"/>
      <c r="S75" s="230"/>
      <c r="T75" s="231"/>
      <c r="U75" s="174"/>
      <c r="V75" s="174"/>
      <c r="W75" s="174"/>
      <c r="X75" s="174"/>
      <c r="Y75" s="100"/>
      <c r="Z75" s="189" t="s">
        <v>536</v>
      </c>
    </row>
    <row r="76" spans="1:28" s="18" customFormat="1" ht="28.5" customHeight="1" x14ac:dyDescent="0.3">
      <c r="A76" s="458"/>
      <c r="B76" s="427"/>
      <c r="C76" s="306"/>
      <c r="D76" s="174" t="s">
        <v>49</v>
      </c>
      <c r="E76" s="174" t="s">
        <v>291</v>
      </c>
      <c r="F76" s="174">
        <v>4</v>
      </c>
      <c r="G76" s="174" t="s">
        <v>35</v>
      </c>
      <c r="H76" s="176">
        <v>27</v>
      </c>
      <c r="I76" s="397"/>
      <c r="J76" s="174"/>
      <c r="K76" s="174"/>
      <c r="L76" s="174"/>
      <c r="M76" s="174"/>
      <c r="N76" s="269" t="s">
        <v>536</v>
      </c>
      <c r="O76" s="269" t="s">
        <v>536</v>
      </c>
      <c r="P76" s="272"/>
      <c r="Q76" s="230"/>
      <c r="R76" s="230"/>
      <c r="S76" s="230"/>
      <c r="T76" s="231"/>
      <c r="U76" s="174"/>
      <c r="V76" s="174"/>
      <c r="W76" s="174"/>
      <c r="X76" s="174"/>
      <c r="Y76" s="100"/>
      <c r="Z76" s="189" t="s">
        <v>536</v>
      </c>
    </row>
    <row r="77" spans="1:28" s="18" customFormat="1" ht="28.5" customHeight="1" x14ac:dyDescent="0.3">
      <c r="A77" s="458"/>
      <c r="B77" s="427"/>
      <c r="C77" s="306"/>
      <c r="D77" s="174" t="s">
        <v>170</v>
      </c>
      <c r="E77" s="174" t="s">
        <v>294</v>
      </c>
      <c r="F77" s="174">
        <v>4</v>
      </c>
      <c r="G77" s="174" t="s">
        <v>35</v>
      </c>
      <c r="H77" s="176">
        <v>25</v>
      </c>
      <c r="I77" s="176"/>
      <c r="J77" s="174">
        <v>15</v>
      </c>
      <c r="K77" s="174"/>
      <c r="L77" s="174"/>
      <c r="M77" s="174">
        <v>8</v>
      </c>
      <c r="N77" s="269" t="s">
        <v>494</v>
      </c>
      <c r="O77" s="269" t="s">
        <v>494</v>
      </c>
      <c r="P77" s="272"/>
      <c r="Q77" s="230"/>
      <c r="R77" s="230"/>
      <c r="S77" s="230"/>
      <c r="T77" s="231"/>
      <c r="U77" s="174"/>
      <c r="V77" s="174"/>
      <c r="W77" s="174"/>
      <c r="X77" s="174"/>
      <c r="Y77" s="97">
        <v>1.9</v>
      </c>
      <c r="Z77" s="189" t="s">
        <v>494</v>
      </c>
    </row>
    <row r="78" spans="1:28" s="18" customFormat="1" ht="28.5" customHeight="1" x14ac:dyDescent="0.3">
      <c r="A78" s="458"/>
      <c r="B78" s="427"/>
      <c r="C78" s="306"/>
      <c r="D78" s="174" t="s">
        <v>170</v>
      </c>
      <c r="E78" s="174" t="s">
        <v>531</v>
      </c>
      <c r="F78" s="174">
        <v>4</v>
      </c>
      <c r="G78" s="174" t="s">
        <v>35</v>
      </c>
      <c r="H78" s="176">
        <v>25</v>
      </c>
      <c r="I78" s="176"/>
      <c r="J78" s="174">
        <v>15</v>
      </c>
      <c r="K78" s="174"/>
      <c r="L78" s="174"/>
      <c r="M78" s="174"/>
      <c r="N78" s="269" t="s">
        <v>494</v>
      </c>
      <c r="O78" s="269" t="s">
        <v>494</v>
      </c>
      <c r="P78" s="272"/>
      <c r="Q78" s="230"/>
      <c r="R78" s="230"/>
      <c r="S78" s="230"/>
      <c r="T78" s="231"/>
      <c r="U78" s="174"/>
      <c r="V78" s="174"/>
      <c r="W78" s="174"/>
      <c r="X78" s="174"/>
      <c r="Y78" s="100">
        <v>0.6</v>
      </c>
      <c r="Z78" s="189" t="s">
        <v>494</v>
      </c>
    </row>
    <row r="79" spans="1:28" s="18" customFormat="1" ht="28.5" customHeight="1" x14ac:dyDescent="0.3">
      <c r="A79" s="458"/>
      <c r="B79" s="427"/>
      <c r="C79" s="306"/>
      <c r="D79" s="174" t="s">
        <v>61</v>
      </c>
      <c r="E79" s="174" t="s">
        <v>298</v>
      </c>
      <c r="F79" s="174">
        <v>4</v>
      </c>
      <c r="G79" s="176" t="s">
        <v>35</v>
      </c>
      <c r="H79" s="176">
        <v>14</v>
      </c>
      <c r="I79" s="176"/>
      <c r="J79" s="174">
        <v>15</v>
      </c>
      <c r="K79" s="174"/>
      <c r="L79" s="174"/>
      <c r="M79" s="174"/>
      <c r="N79" s="269" t="s">
        <v>536</v>
      </c>
      <c r="O79" s="269" t="s">
        <v>536</v>
      </c>
      <c r="P79" s="272"/>
      <c r="Q79" s="230"/>
      <c r="R79" s="230"/>
      <c r="S79" s="230"/>
      <c r="T79" s="231"/>
      <c r="U79" s="174"/>
      <c r="V79" s="174"/>
      <c r="W79" s="174"/>
      <c r="X79" s="174"/>
      <c r="Y79" s="100">
        <v>0.6</v>
      </c>
      <c r="Z79" s="189" t="s">
        <v>536</v>
      </c>
    </row>
    <row r="80" spans="1:28" s="18" customFormat="1" ht="28.5" customHeight="1" x14ac:dyDescent="0.3">
      <c r="A80" s="458"/>
      <c r="B80" s="427"/>
      <c r="C80" s="306"/>
      <c r="D80" s="176" t="s">
        <v>210</v>
      </c>
      <c r="E80" s="176" t="s">
        <v>293</v>
      </c>
      <c r="F80" s="174">
        <v>4</v>
      </c>
      <c r="G80" s="176" t="s">
        <v>35</v>
      </c>
      <c r="H80" s="176">
        <v>15</v>
      </c>
      <c r="I80" s="176"/>
      <c r="J80" s="174"/>
      <c r="K80" s="174"/>
      <c r="L80" s="174"/>
      <c r="M80" s="174"/>
      <c r="N80" s="269" t="s">
        <v>536</v>
      </c>
      <c r="O80" s="269" t="s">
        <v>536</v>
      </c>
      <c r="P80" s="272"/>
      <c r="Q80" s="230"/>
      <c r="R80" s="230"/>
      <c r="S80" s="230"/>
      <c r="T80" s="231"/>
      <c r="U80" s="174"/>
      <c r="V80" s="174"/>
      <c r="W80" s="174"/>
      <c r="X80" s="174"/>
      <c r="Y80" s="100"/>
      <c r="Z80" s="189" t="s">
        <v>536</v>
      </c>
    </row>
    <row r="81" spans="1:26" s="18" customFormat="1" ht="28.5" customHeight="1" x14ac:dyDescent="0.3">
      <c r="A81" s="458"/>
      <c r="B81" s="427"/>
      <c r="C81" s="306"/>
      <c r="D81" s="225" t="s">
        <v>44</v>
      </c>
      <c r="E81" s="176" t="s">
        <v>297</v>
      </c>
      <c r="F81" s="174">
        <v>4</v>
      </c>
      <c r="G81" s="176" t="s">
        <v>35</v>
      </c>
      <c r="H81" s="176">
        <v>30</v>
      </c>
      <c r="I81" s="176"/>
      <c r="J81" s="174">
        <v>15</v>
      </c>
      <c r="K81" s="174"/>
      <c r="L81" s="174"/>
      <c r="M81" s="174"/>
      <c r="N81" s="269" t="s">
        <v>536</v>
      </c>
      <c r="O81" s="269" t="s">
        <v>536</v>
      </c>
      <c r="P81" s="272"/>
      <c r="Q81" s="230"/>
      <c r="R81" s="230"/>
      <c r="S81" s="230"/>
      <c r="T81" s="231"/>
      <c r="U81" s="174"/>
      <c r="V81" s="174"/>
      <c r="W81" s="174"/>
      <c r="X81" s="174"/>
      <c r="Y81" s="100">
        <v>0.6</v>
      </c>
      <c r="Z81" s="189" t="s">
        <v>536</v>
      </c>
    </row>
    <row r="82" spans="1:26" s="18" customFormat="1" ht="28.5" customHeight="1" x14ac:dyDescent="0.3">
      <c r="A82" s="458"/>
      <c r="B82" s="427"/>
      <c r="C82" s="306"/>
      <c r="D82" s="174" t="s">
        <v>49</v>
      </c>
      <c r="E82" s="174" t="s">
        <v>291</v>
      </c>
      <c r="F82" s="174">
        <v>4</v>
      </c>
      <c r="G82" s="174" t="s">
        <v>35</v>
      </c>
      <c r="H82" s="176">
        <v>27</v>
      </c>
      <c r="I82" s="176"/>
      <c r="J82" s="174">
        <v>15</v>
      </c>
      <c r="K82" s="174"/>
      <c r="L82" s="174"/>
      <c r="M82" s="174"/>
      <c r="N82" s="269" t="s">
        <v>536</v>
      </c>
      <c r="O82" s="269" t="s">
        <v>536</v>
      </c>
      <c r="P82" s="272"/>
      <c r="Q82" s="230"/>
      <c r="R82" s="230"/>
      <c r="S82" s="230"/>
      <c r="T82" s="231"/>
      <c r="U82" s="174"/>
      <c r="V82" s="174"/>
      <c r="W82" s="174"/>
      <c r="X82" s="174"/>
      <c r="Y82" s="100">
        <v>0.6</v>
      </c>
      <c r="Z82" s="189" t="s">
        <v>536</v>
      </c>
    </row>
    <row r="83" spans="1:26" s="18" customFormat="1" ht="28.5" customHeight="1" x14ac:dyDescent="0.3">
      <c r="A83" s="458"/>
      <c r="B83" s="427"/>
      <c r="C83" s="306"/>
      <c r="D83" s="225" t="s">
        <v>43</v>
      </c>
      <c r="E83" s="176" t="s">
        <v>322</v>
      </c>
      <c r="F83" s="174">
        <v>4</v>
      </c>
      <c r="G83" s="176" t="s">
        <v>35</v>
      </c>
      <c r="H83" s="176">
        <v>23</v>
      </c>
      <c r="I83" s="395">
        <v>30</v>
      </c>
      <c r="J83" s="174"/>
      <c r="K83" s="174"/>
      <c r="L83" s="174"/>
      <c r="M83" s="174">
        <v>8</v>
      </c>
      <c r="N83" s="269" t="s">
        <v>536</v>
      </c>
      <c r="O83" s="269" t="s">
        <v>536</v>
      </c>
      <c r="P83" s="272"/>
      <c r="Q83" s="230"/>
      <c r="R83" s="230"/>
      <c r="S83" s="230"/>
      <c r="T83" s="231"/>
      <c r="U83" s="174"/>
      <c r="V83" s="174"/>
      <c r="W83" s="174"/>
      <c r="X83" s="174"/>
      <c r="Y83" s="100">
        <v>1.9</v>
      </c>
      <c r="Z83" s="189" t="s">
        <v>536</v>
      </c>
    </row>
    <row r="84" spans="1:26" s="18" customFormat="1" ht="28.5" customHeight="1" x14ac:dyDescent="0.3">
      <c r="A84" s="458"/>
      <c r="B84" s="427"/>
      <c r="C84" s="306"/>
      <c r="D84" s="225" t="s">
        <v>41</v>
      </c>
      <c r="E84" s="174" t="s">
        <v>318</v>
      </c>
      <c r="F84" s="174">
        <v>4</v>
      </c>
      <c r="G84" s="174" t="s">
        <v>35</v>
      </c>
      <c r="H84" s="176">
        <v>7</v>
      </c>
      <c r="I84" s="396"/>
      <c r="J84" s="174"/>
      <c r="K84" s="174"/>
      <c r="L84" s="174"/>
      <c r="M84" s="174"/>
      <c r="N84" s="269" t="s">
        <v>536</v>
      </c>
      <c r="O84" s="269" t="s">
        <v>536</v>
      </c>
      <c r="P84" s="272"/>
      <c r="Q84" s="230"/>
      <c r="R84" s="230"/>
      <c r="S84" s="230"/>
      <c r="T84" s="231"/>
      <c r="U84" s="174"/>
      <c r="V84" s="174"/>
      <c r="W84" s="174"/>
      <c r="X84" s="174"/>
      <c r="Y84" s="100"/>
      <c r="Z84" s="189" t="s">
        <v>536</v>
      </c>
    </row>
    <row r="85" spans="1:26" s="18" customFormat="1" ht="28.5" customHeight="1" x14ac:dyDescent="0.3">
      <c r="A85" s="458"/>
      <c r="B85" s="427"/>
      <c r="C85" s="306"/>
      <c r="D85" s="176" t="s">
        <v>60</v>
      </c>
      <c r="E85" s="176" t="s">
        <v>295</v>
      </c>
      <c r="F85" s="174">
        <v>4</v>
      </c>
      <c r="G85" s="174" t="s">
        <v>35</v>
      </c>
      <c r="H85" s="176">
        <v>30</v>
      </c>
      <c r="I85" s="396"/>
      <c r="J85" s="174"/>
      <c r="K85" s="174"/>
      <c r="L85" s="174"/>
      <c r="M85" s="174"/>
      <c r="N85" s="269" t="s">
        <v>536</v>
      </c>
      <c r="O85" s="269" t="s">
        <v>536</v>
      </c>
      <c r="P85" s="272"/>
      <c r="Q85" s="230"/>
      <c r="R85" s="230"/>
      <c r="S85" s="230"/>
      <c r="T85" s="231"/>
      <c r="U85" s="174"/>
      <c r="V85" s="174"/>
      <c r="W85" s="174"/>
      <c r="X85" s="174"/>
      <c r="Y85" s="100">
        <v>0.6</v>
      </c>
      <c r="Z85" s="189" t="s">
        <v>536</v>
      </c>
    </row>
    <row r="86" spans="1:26" s="18" customFormat="1" ht="28.5" customHeight="1" x14ac:dyDescent="0.3">
      <c r="A86" s="458"/>
      <c r="B86" s="427"/>
      <c r="C86" s="306"/>
      <c r="D86" s="225" t="s">
        <v>114</v>
      </c>
      <c r="E86" s="174" t="s">
        <v>296</v>
      </c>
      <c r="F86" s="174">
        <v>4</v>
      </c>
      <c r="G86" s="176" t="s">
        <v>35</v>
      </c>
      <c r="H86" s="176">
        <v>30</v>
      </c>
      <c r="I86" s="396"/>
      <c r="J86" s="174"/>
      <c r="K86" s="174"/>
      <c r="L86" s="174"/>
      <c r="M86" s="174"/>
      <c r="N86" s="269" t="s">
        <v>536</v>
      </c>
      <c r="O86" s="269" t="s">
        <v>536</v>
      </c>
      <c r="P86" s="272"/>
      <c r="Q86" s="230"/>
      <c r="R86" s="230"/>
      <c r="S86" s="230"/>
      <c r="T86" s="231"/>
      <c r="U86" s="174"/>
      <c r="V86" s="174"/>
      <c r="W86" s="174"/>
      <c r="X86" s="174"/>
      <c r="Y86" s="100">
        <v>0.6</v>
      </c>
      <c r="Z86" s="189" t="s">
        <v>536</v>
      </c>
    </row>
    <row r="87" spans="1:26" s="18" customFormat="1" ht="28.5" customHeight="1" x14ac:dyDescent="0.3">
      <c r="A87" s="458"/>
      <c r="B87" s="427"/>
      <c r="C87" s="306"/>
      <c r="D87" s="225" t="s">
        <v>46</v>
      </c>
      <c r="E87" s="176" t="s">
        <v>301</v>
      </c>
      <c r="F87" s="174">
        <v>4</v>
      </c>
      <c r="G87" s="176" t="s">
        <v>35</v>
      </c>
      <c r="H87" s="176">
        <v>30</v>
      </c>
      <c r="I87" s="396"/>
      <c r="J87" s="174"/>
      <c r="K87" s="174"/>
      <c r="L87" s="174"/>
      <c r="M87" s="174"/>
      <c r="N87" s="269" t="s">
        <v>536</v>
      </c>
      <c r="O87" s="269" t="s">
        <v>536</v>
      </c>
      <c r="P87" s="272"/>
      <c r="Q87" s="230"/>
      <c r="R87" s="230"/>
      <c r="S87" s="230"/>
      <c r="T87" s="231"/>
      <c r="U87" s="174"/>
      <c r="V87" s="174"/>
      <c r="W87" s="174"/>
      <c r="X87" s="174"/>
      <c r="Y87" s="100">
        <v>0.6</v>
      </c>
      <c r="Z87" s="189" t="s">
        <v>536</v>
      </c>
    </row>
    <row r="88" spans="1:26" s="18" customFormat="1" ht="28.5" customHeight="1" x14ac:dyDescent="0.3">
      <c r="A88" s="458"/>
      <c r="B88" s="427"/>
      <c r="C88" s="306"/>
      <c r="D88" s="174" t="s">
        <v>51</v>
      </c>
      <c r="E88" s="174" t="s">
        <v>299</v>
      </c>
      <c r="F88" s="174">
        <v>4</v>
      </c>
      <c r="G88" s="176" t="s">
        <v>35</v>
      </c>
      <c r="H88" s="176">
        <v>26</v>
      </c>
      <c r="I88" s="397"/>
      <c r="J88" s="174"/>
      <c r="K88" s="174"/>
      <c r="L88" s="174"/>
      <c r="M88" s="174"/>
      <c r="N88" s="269" t="s">
        <v>536</v>
      </c>
      <c r="O88" s="269" t="s">
        <v>536</v>
      </c>
      <c r="P88" s="272"/>
      <c r="Q88" s="230"/>
      <c r="R88" s="230"/>
      <c r="S88" s="230"/>
      <c r="T88" s="231"/>
      <c r="U88" s="174"/>
      <c r="V88" s="174"/>
      <c r="W88" s="174"/>
      <c r="X88" s="174"/>
      <c r="Y88" s="100">
        <v>0.6</v>
      </c>
      <c r="Z88" s="189" t="s">
        <v>536</v>
      </c>
    </row>
    <row r="89" spans="1:26" s="18" customFormat="1" ht="28.5" customHeight="1" x14ac:dyDescent="0.3">
      <c r="A89" s="458"/>
      <c r="B89" s="427"/>
      <c r="C89" s="306"/>
      <c r="D89" s="225" t="s">
        <v>43</v>
      </c>
      <c r="E89" s="176" t="s">
        <v>322</v>
      </c>
      <c r="F89" s="174">
        <v>4</v>
      </c>
      <c r="G89" s="176" t="s">
        <v>35</v>
      </c>
      <c r="H89" s="176">
        <v>23</v>
      </c>
      <c r="I89" s="176"/>
      <c r="J89" s="174">
        <v>15</v>
      </c>
      <c r="K89" s="174"/>
      <c r="L89" s="174"/>
      <c r="M89" s="174"/>
      <c r="N89" s="269" t="s">
        <v>539</v>
      </c>
      <c r="O89" s="269" t="s">
        <v>539</v>
      </c>
      <c r="P89" s="272"/>
      <c r="Q89" s="230"/>
      <c r="R89" s="230"/>
      <c r="S89" s="230"/>
      <c r="T89" s="231"/>
      <c r="U89" s="174"/>
      <c r="V89" s="174"/>
      <c r="W89" s="174"/>
      <c r="X89" s="174"/>
      <c r="Y89" s="100"/>
      <c r="Z89" s="189" t="s">
        <v>539</v>
      </c>
    </row>
    <row r="90" spans="1:26" s="18" customFormat="1" ht="28.5" customHeight="1" x14ac:dyDescent="0.3">
      <c r="A90" s="458"/>
      <c r="B90" s="427"/>
      <c r="C90" s="306"/>
      <c r="D90" s="225" t="s">
        <v>41</v>
      </c>
      <c r="E90" s="174" t="s">
        <v>318</v>
      </c>
      <c r="F90" s="174">
        <v>4</v>
      </c>
      <c r="G90" s="174" t="s">
        <v>35</v>
      </c>
      <c r="H90" s="176">
        <v>7</v>
      </c>
      <c r="I90" s="176"/>
      <c r="J90" s="174"/>
      <c r="K90" s="174"/>
      <c r="L90" s="174"/>
      <c r="M90" s="174"/>
      <c r="N90" s="269" t="s">
        <v>539</v>
      </c>
      <c r="O90" s="269" t="s">
        <v>539</v>
      </c>
      <c r="P90" s="272"/>
      <c r="Q90" s="230"/>
      <c r="R90" s="230"/>
      <c r="S90" s="230"/>
      <c r="T90" s="231"/>
      <c r="U90" s="174"/>
      <c r="V90" s="174"/>
      <c r="W90" s="174"/>
      <c r="X90" s="174"/>
      <c r="Y90" s="100"/>
      <c r="Z90" s="189" t="s">
        <v>539</v>
      </c>
    </row>
    <row r="91" spans="1:26" s="18" customFormat="1" ht="28.5" customHeight="1" x14ac:dyDescent="0.3">
      <c r="A91" s="458"/>
      <c r="B91" s="427"/>
      <c r="C91" s="306"/>
      <c r="D91" s="176" t="s">
        <v>60</v>
      </c>
      <c r="E91" s="176" t="s">
        <v>295</v>
      </c>
      <c r="F91" s="174">
        <v>4</v>
      </c>
      <c r="G91" s="174" t="s">
        <v>35</v>
      </c>
      <c r="H91" s="176">
        <v>30</v>
      </c>
      <c r="I91" s="176"/>
      <c r="J91" s="174">
        <v>15</v>
      </c>
      <c r="K91" s="174"/>
      <c r="L91" s="174"/>
      <c r="M91" s="174"/>
      <c r="N91" s="269" t="s">
        <v>539</v>
      </c>
      <c r="O91" s="269" t="s">
        <v>539</v>
      </c>
      <c r="P91" s="272"/>
      <c r="Q91" s="230"/>
      <c r="R91" s="230"/>
      <c r="S91" s="230"/>
      <c r="T91" s="231"/>
      <c r="U91" s="174"/>
      <c r="V91" s="174"/>
      <c r="W91" s="174"/>
      <c r="X91" s="174"/>
      <c r="Y91" s="100"/>
      <c r="Z91" s="189" t="s">
        <v>539</v>
      </c>
    </row>
    <row r="92" spans="1:26" s="18" customFormat="1" ht="28.5" customHeight="1" x14ac:dyDescent="0.3">
      <c r="A92" s="458"/>
      <c r="B92" s="427"/>
      <c r="C92" s="306"/>
      <c r="D92" s="225" t="s">
        <v>114</v>
      </c>
      <c r="E92" s="174" t="s">
        <v>296</v>
      </c>
      <c r="F92" s="174">
        <v>4</v>
      </c>
      <c r="G92" s="176" t="s">
        <v>35</v>
      </c>
      <c r="H92" s="176">
        <v>30</v>
      </c>
      <c r="I92" s="176"/>
      <c r="J92" s="174">
        <v>15</v>
      </c>
      <c r="K92" s="174"/>
      <c r="L92" s="174"/>
      <c r="M92" s="174"/>
      <c r="N92" s="269" t="s">
        <v>539</v>
      </c>
      <c r="O92" s="269" t="s">
        <v>539</v>
      </c>
      <c r="P92" s="272"/>
      <c r="Q92" s="230"/>
      <c r="R92" s="230"/>
      <c r="S92" s="230"/>
      <c r="T92" s="231"/>
      <c r="U92" s="174"/>
      <c r="V92" s="174"/>
      <c r="W92" s="174"/>
      <c r="X92" s="174"/>
      <c r="Y92" s="100"/>
      <c r="Z92" s="189" t="s">
        <v>539</v>
      </c>
    </row>
    <row r="93" spans="1:26" s="18" customFormat="1" ht="28.5" customHeight="1" x14ac:dyDescent="0.3">
      <c r="A93" s="458"/>
      <c r="B93" s="427"/>
      <c r="C93" s="306"/>
      <c r="D93" s="225" t="s">
        <v>46</v>
      </c>
      <c r="E93" s="176" t="s">
        <v>301</v>
      </c>
      <c r="F93" s="174">
        <v>4</v>
      </c>
      <c r="G93" s="176" t="s">
        <v>35</v>
      </c>
      <c r="H93" s="176">
        <v>30</v>
      </c>
      <c r="I93" s="176"/>
      <c r="J93" s="174">
        <v>15</v>
      </c>
      <c r="K93" s="174"/>
      <c r="L93" s="174"/>
      <c r="M93" s="174"/>
      <c r="N93" s="269" t="s">
        <v>539</v>
      </c>
      <c r="O93" s="269" t="s">
        <v>539</v>
      </c>
      <c r="P93" s="272"/>
      <c r="Q93" s="230"/>
      <c r="R93" s="230"/>
      <c r="S93" s="230"/>
      <c r="T93" s="231"/>
      <c r="U93" s="174"/>
      <c r="V93" s="174"/>
      <c r="W93" s="174"/>
      <c r="X93" s="174"/>
      <c r="Y93" s="100"/>
      <c r="Z93" s="189" t="s">
        <v>539</v>
      </c>
    </row>
    <row r="94" spans="1:26" s="18" customFormat="1" ht="28.5" customHeight="1" x14ac:dyDescent="0.3">
      <c r="A94" s="458"/>
      <c r="B94" s="427"/>
      <c r="C94" s="306"/>
      <c r="D94" s="174" t="s">
        <v>51</v>
      </c>
      <c r="E94" s="174" t="s">
        <v>299</v>
      </c>
      <c r="F94" s="174">
        <v>4</v>
      </c>
      <c r="G94" s="176" t="s">
        <v>35</v>
      </c>
      <c r="H94" s="176">
        <v>26</v>
      </c>
      <c r="I94" s="176"/>
      <c r="J94" s="174">
        <v>15</v>
      </c>
      <c r="K94" s="174"/>
      <c r="L94" s="174"/>
      <c r="M94" s="174"/>
      <c r="N94" s="269" t="s">
        <v>539</v>
      </c>
      <c r="O94" s="269" t="s">
        <v>539</v>
      </c>
      <c r="P94" s="272"/>
      <c r="Q94" s="230"/>
      <c r="R94" s="230"/>
      <c r="S94" s="230"/>
      <c r="T94" s="231"/>
      <c r="U94" s="174"/>
      <c r="V94" s="174"/>
      <c r="W94" s="174"/>
      <c r="X94" s="174"/>
      <c r="Y94" s="100"/>
      <c r="Z94" s="189" t="s">
        <v>539</v>
      </c>
    </row>
    <row r="95" spans="1:26" s="18" customFormat="1" ht="28.5" customHeight="1" x14ac:dyDescent="0.3">
      <c r="A95" s="458"/>
      <c r="B95" s="427"/>
      <c r="C95" s="306"/>
      <c r="D95" s="225" t="s">
        <v>52</v>
      </c>
      <c r="E95" s="176" t="s">
        <v>300</v>
      </c>
      <c r="F95" s="174">
        <v>4</v>
      </c>
      <c r="G95" s="176" t="s">
        <v>35</v>
      </c>
      <c r="H95" s="176">
        <v>30</v>
      </c>
      <c r="I95" s="176">
        <v>30</v>
      </c>
      <c r="J95" s="174">
        <v>15</v>
      </c>
      <c r="K95" s="174"/>
      <c r="L95" s="174"/>
      <c r="M95" s="174">
        <v>8</v>
      </c>
      <c r="N95" s="269" t="s">
        <v>539</v>
      </c>
      <c r="O95" s="269" t="s">
        <v>539</v>
      </c>
      <c r="P95" s="272"/>
      <c r="Q95" s="230"/>
      <c r="R95" s="230"/>
      <c r="S95" s="230"/>
      <c r="T95" s="231"/>
      <c r="U95" s="174"/>
      <c r="V95" s="174"/>
      <c r="W95" s="174"/>
      <c r="X95" s="174"/>
      <c r="Y95" s="100">
        <v>1.9</v>
      </c>
      <c r="Z95" s="189" t="s">
        <v>539</v>
      </c>
    </row>
    <row r="96" spans="1:26" s="18" customFormat="1" ht="28.5" customHeight="1" x14ac:dyDescent="0.3">
      <c r="A96" s="458"/>
      <c r="B96" s="427"/>
      <c r="C96" s="306"/>
      <c r="D96" s="225" t="s">
        <v>52</v>
      </c>
      <c r="E96" s="176" t="s">
        <v>319</v>
      </c>
      <c r="F96" s="174">
        <v>4</v>
      </c>
      <c r="G96" s="176" t="s">
        <v>35</v>
      </c>
      <c r="H96" s="176">
        <v>30</v>
      </c>
      <c r="I96" s="176"/>
      <c r="J96" s="174">
        <v>15</v>
      </c>
      <c r="K96" s="174"/>
      <c r="L96" s="174"/>
      <c r="M96" s="174"/>
      <c r="N96" s="269" t="s">
        <v>539</v>
      </c>
      <c r="O96" s="269" t="s">
        <v>539</v>
      </c>
      <c r="P96" s="272"/>
      <c r="Q96" s="230"/>
      <c r="R96" s="230"/>
      <c r="S96" s="230"/>
      <c r="T96" s="231"/>
      <c r="U96" s="174"/>
      <c r="V96" s="174"/>
      <c r="W96" s="174"/>
      <c r="X96" s="174"/>
      <c r="Y96" s="100">
        <v>0.6</v>
      </c>
      <c r="Z96" s="189" t="s">
        <v>539</v>
      </c>
    </row>
    <row r="97" spans="1:28" s="18" customFormat="1" ht="28.5" customHeight="1" x14ac:dyDescent="0.3">
      <c r="A97" s="458"/>
      <c r="B97" s="427"/>
      <c r="C97" s="306"/>
      <c r="D97" s="225" t="s">
        <v>52</v>
      </c>
      <c r="E97" s="176" t="s">
        <v>302</v>
      </c>
      <c r="F97" s="174">
        <v>4</v>
      </c>
      <c r="G97" s="176" t="s">
        <v>35</v>
      </c>
      <c r="H97" s="176">
        <v>29</v>
      </c>
      <c r="I97" s="176"/>
      <c r="J97" s="174">
        <v>15</v>
      </c>
      <c r="K97" s="174"/>
      <c r="L97" s="174"/>
      <c r="M97" s="174"/>
      <c r="N97" s="269" t="s">
        <v>539</v>
      </c>
      <c r="O97" s="269" t="s">
        <v>539</v>
      </c>
      <c r="P97" s="272"/>
      <c r="Q97" s="230"/>
      <c r="R97" s="230"/>
      <c r="S97" s="230"/>
      <c r="T97" s="231"/>
      <c r="U97" s="174"/>
      <c r="V97" s="174"/>
      <c r="W97" s="174"/>
      <c r="X97" s="174"/>
      <c r="Y97" s="100">
        <v>0.6</v>
      </c>
      <c r="Z97" s="189" t="s">
        <v>539</v>
      </c>
    </row>
    <row r="98" spans="1:28" s="18" customFormat="1" ht="28.5" customHeight="1" x14ac:dyDescent="0.3">
      <c r="A98" s="458"/>
      <c r="B98" s="427"/>
      <c r="C98" s="306"/>
      <c r="D98" s="225" t="s">
        <v>52</v>
      </c>
      <c r="E98" s="176" t="s">
        <v>320</v>
      </c>
      <c r="F98" s="174">
        <v>4</v>
      </c>
      <c r="G98" s="176" t="s">
        <v>35</v>
      </c>
      <c r="H98" s="176">
        <v>29</v>
      </c>
      <c r="I98" s="176"/>
      <c r="J98" s="174">
        <v>15</v>
      </c>
      <c r="K98" s="174"/>
      <c r="L98" s="174"/>
      <c r="M98" s="174"/>
      <c r="N98" s="269" t="s">
        <v>539</v>
      </c>
      <c r="O98" s="269" t="s">
        <v>539</v>
      </c>
      <c r="P98" s="272"/>
      <c r="Q98" s="230"/>
      <c r="R98" s="230"/>
      <c r="S98" s="230"/>
      <c r="T98" s="231"/>
      <c r="U98" s="174"/>
      <c r="V98" s="174"/>
      <c r="W98" s="174"/>
      <c r="X98" s="174"/>
      <c r="Y98" s="100">
        <v>0.6</v>
      </c>
      <c r="Z98" s="189" t="s">
        <v>539</v>
      </c>
    </row>
    <row r="99" spans="1:28" s="18" customFormat="1" ht="28.5" customHeight="1" x14ac:dyDescent="0.3">
      <c r="A99" s="458"/>
      <c r="B99" s="427"/>
      <c r="C99" s="306"/>
      <c r="D99" s="174" t="s">
        <v>170</v>
      </c>
      <c r="E99" s="174" t="s">
        <v>306</v>
      </c>
      <c r="F99" s="174">
        <v>4</v>
      </c>
      <c r="G99" s="174" t="s">
        <v>32</v>
      </c>
      <c r="H99" s="176">
        <v>21</v>
      </c>
      <c r="I99" s="176">
        <v>30</v>
      </c>
      <c r="J99" s="174">
        <v>15</v>
      </c>
      <c r="K99" s="174"/>
      <c r="L99" s="174"/>
      <c r="M99" s="174">
        <v>8</v>
      </c>
      <c r="N99" s="269" t="s">
        <v>537</v>
      </c>
      <c r="O99" s="269" t="s">
        <v>537</v>
      </c>
      <c r="P99" s="272"/>
      <c r="Q99" s="230"/>
      <c r="R99" s="230"/>
      <c r="S99" s="230"/>
      <c r="T99" s="231"/>
      <c r="U99" s="174"/>
      <c r="V99" s="174"/>
      <c r="W99" s="174"/>
      <c r="X99" s="174"/>
      <c r="Y99" s="100">
        <v>1.9</v>
      </c>
      <c r="Z99" s="189" t="s">
        <v>537</v>
      </c>
    </row>
    <row r="100" spans="1:28" ht="21.75" customHeight="1" x14ac:dyDescent="0.3">
      <c r="A100" s="458"/>
      <c r="B100" s="427"/>
      <c r="C100" s="306"/>
      <c r="D100" s="174" t="s">
        <v>61</v>
      </c>
      <c r="E100" s="174" t="s">
        <v>307</v>
      </c>
      <c r="F100" s="174">
        <v>4</v>
      </c>
      <c r="G100" s="174" t="s">
        <v>32</v>
      </c>
      <c r="H100" s="176">
        <v>11</v>
      </c>
      <c r="I100" s="176"/>
      <c r="J100" s="174">
        <v>15</v>
      </c>
      <c r="K100" s="174"/>
      <c r="L100" s="174"/>
      <c r="M100" s="174"/>
      <c r="N100" s="269" t="s">
        <v>537</v>
      </c>
      <c r="O100" s="269" t="s">
        <v>537</v>
      </c>
      <c r="P100" s="272"/>
      <c r="Q100" s="230"/>
      <c r="R100" s="230"/>
      <c r="S100" s="230"/>
      <c r="T100" s="231"/>
      <c r="U100" s="174"/>
      <c r="V100" s="174"/>
      <c r="W100" s="174"/>
      <c r="X100" s="174"/>
      <c r="Y100" s="100">
        <v>0.6</v>
      </c>
      <c r="Z100" s="189" t="s">
        <v>537</v>
      </c>
      <c r="AA100" s="18"/>
      <c r="AB100" s="18"/>
    </row>
    <row r="101" spans="1:28" s="7" customFormat="1" ht="25.5" customHeight="1" x14ac:dyDescent="0.3">
      <c r="A101" s="458"/>
      <c r="B101" s="427"/>
      <c r="C101" s="306"/>
      <c r="D101" s="225" t="s">
        <v>44</v>
      </c>
      <c r="E101" s="176" t="s">
        <v>308</v>
      </c>
      <c r="F101" s="174">
        <v>4</v>
      </c>
      <c r="G101" s="174" t="s">
        <v>32</v>
      </c>
      <c r="H101" s="176">
        <v>7</v>
      </c>
      <c r="I101" s="176"/>
      <c r="J101" s="174"/>
      <c r="K101" s="174"/>
      <c r="L101" s="174"/>
      <c r="M101" s="174"/>
      <c r="N101" s="269" t="s">
        <v>537</v>
      </c>
      <c r="O101" s="269" t="s">
        <v>537</v>
      </c>
      <c r="P101" s="272"/>
      <c r="Q101" s="230"/>
      <c r="R101" s="230"/>
      <c r="S101" s="230"/>
      <c r="T101" s="231"/>
      <c r="U101" s="174"/>
      <c r="V101" s="174"/>
      <c r="W101" s="174"/>
      <c r="X101" s="174"/>
      <c r="Y101" s="100"/>
      <c r="Z101" s="189" t="s">
        <v>537</v>
      </c>
      <c r="AA101" s="18"/>
      <c r="AB101" s="18"/>
    </row>
    <row r="102" spans="1:28" s="7" customFormat="1" ht="25.5" customHeight="1" x14ac:dyDescent="0.3">
      <c r="A102" s="458"/>
      <c r="B102" s="427"/>
      <c r="C102" s="306"/>
      <c r="D102" s="176" t="s">
        <v>210</v>
      </c>
      <c r="E102" s="176" t="s">
        <v>323</v>
      </c>
      <c r="F102" s="174">
        <v>4</v>
      </c>
      <c r="G102" s="174" t="s">
        <v>32</v>
      </c>
      <c r="H102" s="176">
        <v>4</v>
      </c>
      <c r="I102" s="176"/>
      <c r="J102" s="174"/>
      <c r="K102" s="174"/>
      <c r="L102" s="174"/>
      <c r="M102" s="174"/>
      <c r="N102" s="269" t="s">
        <v>537</v>
      </c>
      <c r="O102" s="269" t="s">
        <v>537</v>
      </c>
      <c r="P102" s="272"/>
      <c r="Q102" s="230"/>
      <c r="R102" s="230"/>
      <c r="S102" s="230"/>
      <c r="T102" s="231"/>
      <c r="U102" s="174"/>
      <c r="V102" s="174"/>
      <c r="W102" s="174"/>
      <c r="X102" s="174"/>
      <c r="Y102" s="100"/>
      <c r="Z102" s="189" t="s">
        <v>537</v>
      </c>
      <c r="AA102" s="18"/>
      <c r="AB102" s="18"/>
    </row>
    <row r="103" spans="1:28" s="1" customFormat="1" x14ac:dyDescent="0.3">
      <c r="A103" s="458"/>
      <c r="B103" s="427"/>
      <c r="C103" s="306"/>
      <c r="D103" s="225" t="s">
        <v>43</v>
      </c>
      <c r="E103" s="176" t="s">
        <v>309</v>
      </c>
      <c r="F103" s="174">
        <v>4</v>
      </c>
      <c r="G103" s="174" t="s">
        <v>32</v>
      </c>
      <c r="H103" s="176">
        <v>7</v>
      </c>
      <c r="I103" s="176"/>
      <c r="J103" s="174"/>
      <c r="K103" s="174"/>
      <c r="L103" s="174"/>
      <c r="M103" s="174"/>
      <c r="N103" s="269" t="s">
        <v>537</v>
      </c>
      <c r="O103" s="269" t="s">
        <v>537</v>
      </c>
      <c r="P103" s="272"/>
      <c r="Q103" s="230"/>
      <c r="R103" s="230"/>
      <c r="S103" s="230"/>
      <c r="T103" s="231"/>
      <c r="U103" s="174"/>
      <c r="V103" s="174"/>
      <c r="W103" s="174"/>
      <c r="X103" s="174"/>
      <c r="Y103" s="100"/>
      <c r="Z103" s="189" t="s">
        <v>537</v>
      </c>
      <c r="AA103" s="18"/>
      <c r="AB103" s="18"/>
    </row>
    <row r="104" spans="1:28" s="1" customFormat="1" x14ac:dyDescent="0.3">
      <c r="A104" s="458"/>
      <c r="B104" s="427"/>
      <c r="C104" s="306"/>
      <c r="D104" s="225" t="s">
        <v>41</v>
      </c>
      <c r="E104" s="174" t="s">
        <v>317</v>
      </c>
      <c r="F104" s="174">
        <v>4</v>
      </c>
      <c r="G104" s="174" t="s">
        <v>32</v>
      </c>
      <c r="H104" s="176">
        <v>6</v>
      </c>
      <c r="I104" s="176"/>
      <c r="J104" s="174">
        <v>15</v>
      </c>
      <c r="K104" s="174"/>
      <c r="L104" s="174"/>
      <c r="M104" s="174"/>
      <c r="N104" s="269" t="s">
        <v>537</v>
      </c>
      <c r="O104" s="269" t="s">
        <v>537</v>
      </c>
      <c r="P104" s="272"/>
      <c r="Q104" s="230"/>
      <c r="R104" s="230"/>
      <c r="S104" s="230"/>
      <c r="T104" s="231"/>
      <c r="U104" s="174"/>
      <c r="V104" s="174"/>
      <c r="W104" s="174"/>
      <c r="X104" s="174"/>
      <c r="Y104" s="100">
        <v>0.6</v>
      </c>
      <c r="Z104" s="189" t="s">
        <v>537</v>
      </c>
      <c r="AA104" s="18"/>
      <c r="AB104" s="18"/>
    </row>
    <row r="105" spans="1:28" s="7" customFormat="1" ht="25.5" customHeight="1" x14ac:dyDescent="0.3">
      <c r="A105" s="458"/>
      <c r="B105" s="427"/>
      <c r="C105" s="306"/>
      <c r="D105" s="174" t="s">
        <v>51</v>
      </c>
      <c r="E105" s="174" t="s">
        <v>314</v>
      </c>
      <c r="F105" s="174">
        <v>4</v>
      </c>
      <c r="G105" s="174" t="s">
        <v>32</v>
      </c>
      <c r="H105" s="176">
        <v>9</v>
      </c>
      <c r="I105" s="176"/>
      <c r="J105" s="174"/>
      <c r="K105" s="174"/>
      <c r="L105" s="174"/>
      <c r="M105" s="174"/>
      <c r="N105" s="269" t="s">
        <v>537</v>
      </c>
      <c r="O105" s="269" t="s">
        <v>537</v>
      </c>
      <c r="P105" s="272"/>
      <c r="Q105" s="230"/>
      <c r="R105" s="230"/>
      <c r="S105" s="230"/>
      <c r="T105" s="231"/>
      <c r="U105" s="174"/>
      <c r="V105" s="174"/>
      <c r="W105" s="174"/>
      <c r="X105" s="174"/>
      <c r="Y105" s="100"/>
      <c r="Z105" s="189" t="s">
        <v>537</v>
      </c>
      <c r="AA105" s="18"/>
      <c r="AB105" s="18"/>
    </row>
    <row r="106" spans="1:28" s="4" customFormat="1" ht="21.75" customHeight="1" x14ac:dyDescent="0.3">
      <c r="A106" s="458"/>
      <c r="B106" s="427"/>
      <c r="C106" s="306"/>
      <c r="D106" s="225" t="s">
        <v>46</v>
      </c>
      <c r="E106" s="176" t="s">
        <v>313</v>
      </c>
      <c r="F106" s="174">
        <v>4</v>
      </c>
      <c r="G106" s="174" t="s">
        <v>32</v>
      </c>
      <c r="H106" s="176">
        <v>12</v>
      </c>
      <c r="I106" s="176"/>
      <c r="J106" s="174"/>
      <c r="K106" s="174"/>
      <c r="L106" s="174"/>
      <c r="M106" s="174"/>
      <c r="N106" s="269" t="s">
        <v>537</v>
      </c>
      <c r="O106" s="269" t="s">
        <v>537</v>
      </c>
      <c r="P106" s="272"/>
      <c r="Q106" s="230"/>
      <c r="R106" s="230"/>
      <c r="S106" s="230"/>
      <c r="T106" s="231"/>
      <c r="U106" s="174"/>
      <c r="V106" s="174"/>
      <c r="W106" s="174"/>
      <c r="X106" s="174"/>
      <c r="Y106" s="100"/>
      <c r="Z106" s="189" t="s">
        <v>537</v>
      </c>
      <c r="AA106" s="18"/>
      <c r="AB106" s="18"/>
    </row>
    <row r="107" spans="1:28" s="7" customFormat="1" ht="25.5" customHeight="1" x14ac:dyDescent="0.3">
      <c r="A107" s="458"/>
      <c r="B107" s="427"/>
      <c r="C107" s="306"/>
      <c r="D107" s="176" t="s">
        <v>60</v>
      </c>
      <c r="E107" s="176" t="s">
        <v>310</v>
      </c>
      <c r="F107" s="174">
        <v>4</v>
      </c>
      <c r="G107" s="174" t="s">
        <v>32</v>
      </c>
      <c r="H107" s="176">
        <v>16</v>
      </c>
      <c r="I107" s="176"/>
      <c r="J107" s="174">
        <v>15</v>
      </c>
      <c r="K107" s="174"/>
      <c r="L107" s="174"/>
      <c r="M107" s="174"/>
      <c r="N107" s="269" t="s">
        <v>537</v>
      </c>
      <c r="O107" s="269" t="s">
        <v>537</v>
      </c>
      <c r="P107" s="272"/>
      <c r="Q107" s="230"/>
      <c r="R107" s="230"/>
      <c r="S107" s="230"/>
      <c r="T107" s="231"/>
      <c r="U107" s="174"/>
      <c r="V107" s="174"/>
      <c r="W107" s="174"/>
      <c r="X107" s="174"/>
      <c r="Y107" s="100">
        <v>0.6</v>
      </c>
      <c r="Z107" s="189" t="s">
        <v>537</v>
      </c>
      <c r="AA107" s="18"/>
      <c r="AB107" s="18"/>
    </row>
    <row r="108" spans="1:28" s="7" customFormat="1" ht="25.5" customHeight="1" x14ac:dyDescent="0.3">
      <c r="A108" s="458"/>
      <c r="B108" s="427"/>
      <c r="C108" s="306"/>
      <c r="D108" s="225" t="s">
        <v>114</v>
      </c>
      <c r="E108" s="174" t="s">
        <v>312</v>
      </c>
      <c r="F108" s="174">
        <v>4</v>
      </c>
      <c r="G108" s="174" t="s">
        <v>32</v>
      </c>
      <c r="H108" s="176">
        <v>14</v>
      </c>
      <c r="I108" s="176"/>
      <c r="J108" s="174"/>
      <c r="K108" s="174"/>
      <c r="L108" s="174"/>
      <c r="M108" s="174"/>
      <c r="N108" s="269" t="s">
        <v>537</v>
      </c>
      <c r="O108" s="269" t="s">
        <v>537</v>
      </c>
      <c r="P108" s="272"/>
      <c r="Q108" s="230"/>
      <c r="R108" s="230"/>
      <c r="S108" s="230"/>
      <c r="T108" s="231"/>
      <c r="U108" s="174"/>
      <c r="V108" s="174"/>
      <c r="W108" s="174"/>
      <c r="X108" s="174"/>
      <c r="Y108" s="100"/>
      <c r="Z108" s="189" t="s">
        <v>537</v>
      </c>
      <c r="AA108" s="18"/>
      <c r="AB108" s="18"/>
    </row>
    <row r="109" spans="1:28" s="7" customFormat="1" ht="19.5" customHeight="1" x14ac:dyDescent="0.3">
      <c r="A109" s="458"/>
      <c r="B109" s="427"/>
      <c r="C109" s="306"/>
      <c r="D109" s="225" t="s">
        <v>52</v>
      </c>
      <c r="E109" s="176" t="s">
        <v>315</v>
      </c>
      <c r="F109" s="174">
        <v>4</v>
      </c>
      <c r="G109" s="174" t="s">
        <v>32</v>
      </c>
      <c r="H109" s="176">
        <v>30</v>
      </c>
      <c r="I109" s="176">
        <v>30</v>
      </c>
      <c r="J109" s="174">
        <v>15</v>
      </c>
      <c r="K109" s="174"/>
      <c r="L109" s="174"/>
      <c r="M109" s="174">
        <v>8</v>
      </c>
      <c r="N109" s="269" t="s">
        <v>641</v>
      </c>
      <c r="O109" s="269" t="s">
        <v>641</v>
      </c>
      <c r="P109" s="272"/>
      <c r="Q109" s="230"/>
      <c r="R109" s="230"/>
      <c r="S109" s="230"/>
      <c r="T109" s="231"/>
      <c r="U109" s="174"/>
      <c r="V109" s="174"/>
      <c r="W109" s="174"/>
      <c r="X109" s="174"/>
      <c r="Y109" s="100">
        <v>1.9</v>
      </c>
      <c r="Z109" s="189" t="s">
        <v>641</v>
      </c>
      <c r="AA109" s="18"/>
      <c r="AB109" s="18"/>
    </row>
    <row r="110" spans="1:28" s="7" customFormat="1" ht="19.5" customHeight="1" x14ac:dyDescent="0.3">
      <c r="A110" s="458"/>
      <c r="B110" s="427"/>
      <c r="C110" s="306"/>
      <c r="D110" s="225" t="s">
        <v>52</v>
      </c>
      <c r="E110" s="176" t="s">
        <v>316</v>
      </c>
      <c r="F110" s="174">
        <v>4</v>
      </c>
      <c r="G110" s="174" t="s">
        <v>32</v>
      </c>
      <c r="H110" s="176">
        <v>30</v>
      </c>
      <c r="I110" s="176"/>
      <c r="J110" s="174">
        <v>15</v>
      </c>
      <c r="K110" s="174"/>
      <c r="L110" s="174"/>
      <c r="M110" s="174"/>
      <c r="N110" s="269" t="s">
        <v>641</v>
      </c>
      <c r="O110" s="269" t="s">
        <v>641</v>
      </c>
      <c r="P110" s="272"/>
      <c r="Q110" s="230"/>
      <c r="R110" s="230"/>
      <c r="S110" s="230"/>
      <c r="T110" s="231"/>
      <c r="U110" s="174"/>
      <c r="V110" s="174"/>
      <c r="W110" s="174"/>
      <c r="X110" s="174"/>
      <c r="Y110" s="100">
        <v>0.6</v>
      </c>
      <c r="Z110" s="189" t="s">
        <v>641</v>
      </c>
      <c r="AA110" s="18"/>
      <c r="AB110" s="18"/>
    </row>
    <row r="111" spans="1:28" s="7" customFormat="1" ht="19.5" customHeight="1" x14ac:dyDescent="0.3">
      <c r="A111" s="86"/>
      <c r="B111" s="19"/>
      <c r="C111" s="19"/>
      <c r="D111" s="6"/>
      <c r="E111" s="6"/>
      <c r="F111" s="6"/>
      <c r="G111" s="86"/>
      <c r="H111" s="86"/>
      <c r="I111" s="86"/>
      <c r="J111" s="8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28"/>
      <c r="Z111" s="4"/>
      <c r="AA111" s="4"/>
    </row>
    <row r="112" spans="1:28" s="7" customFormat="1" ht="19.5" customHeight="1" x14ac:dyDescent="0.3">
      <c r="A112" s="86"/>
      <c r="B112" s="19"/>
      <c r="C112" s="19"/>
      <c r="D112" s="6"/>
      <c r="E112" s="6"/>
      <c r="F112" s="6"/>
      <c r="G112" s="86"/>
      <c r="H112" s="86"/>
      <c r="I112" s="86"/>
      <c r="J112" s="8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28"/>
      <c r="Z112" s="4"/>
      <c r="AA112" s="4"/>
    </row>
    <row r="113" spans="1:27" s="7" customFormat="1" ht="19.5" customHeight="1" x14ac:dyDescent="0.3">
      <c r="A113" s="86"/>
      <c r="B113" s="19"/>
      <c r="C113" s="19"/>
      <c r="D113" s="6"/>
      <c r="E113" s="6"/>
      <c r="F113" s="6"/>
      <c r="G113" s="86"/>
      <c r="H113" s="86"/>
      <c r="I113" s="86"/>
      <c r="J113" s="8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28"/>
      <c r="Z113" s="4"/>
      <c r="AA113" s="4"/>
    </row>
    <row r="114" spans="1:27" s="7" customFormat="1" ht="19.5" customHeight="1" x14ac:dyDescent="0.3">
      <c r="A114" s="86"/>
      <c r="B114" s="19"/>
      <c r="C114" s="19"/>
      <c r="D114" s="6"/>
      <c r="E114" s="6"/>
      <c r="F114" s="6"/>
      <c r="G114" s="86"/>
      <c r="H114" s="86"/>
      <c r="I114" s="86"/>
      <c r="J114" s="8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28"/>
      <c r="Z114" s="4"/>
      <c r="AA114" s="4"/>
    </row>
    <row r="115" spans="1:27" s="7" customFormat="1" ht="19.5" customHeight="1" x14ac:dyDescent="0.3">
      <c r="A115" s="86"/>
      <c r="B115" s="19"/>
      <c r="C115" s="19"/>
      <c r="D115" s="6"/>
      <c r="E115" s="6"/>
      <c r="F115" s="6"/>
      <c r="G115" s="86"/>
      <c r="H115" s="86"/>
      <c r="I115" s="86"/>
      <c r="J115" s="8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28"/>
      <c r="Z115" s="4"/>
      <c r="AA115" s="4"/>
    </row>
    <row r="116" spans="1:27" s="7" customFormat="1" ht="19.5" customHeight="1" x14ac:dyDescent="0.3">
      <c r="A116" s="86"/>
      <c r="B116" s="19"/>
      <c r="C116" s="19"/>
      <c r="D116" s="6"/>
      <c r="E116" s="6"/>
      <c r="F116" s="6"/>
      <c r="G116" s="86"/>
      <c r="H116" s="86"/>
      <c r="I116" s="86"/>
      <c r="J116" s="8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28"/>
      <c r="Z116" s="4"/>
      <c r="AA116" s="4"/>
    </row>
    <row r="117" spans="1:27" s="7" customFormat="1" ht="19.5" customHeight="1" x14ac:dyDescent="0.3">
      <c r="A117" s="86"/>
      <c r="B117" s="19"/>
      <c r="C117" s="19"/>
      <c r="D117" s="6"/>
      <c r="E117" s="6"/>
      <c r="F117" s="6"/>
      <c r="G117" s="86"/>
      <c r="H117" s="86"/>
      <c r="I117" s="86"/>
      <c r="J117" s="8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28"/>
      <c r="Z117" s="4"/>
      <c r="AA117" s="4"/>
    </row>
    <row r="118" spans="1:27" s="7" customFormat="1" ht="19.5" customHeight="1" x14ac:dyDescent="0.3">
      <c r="A118" s="86"/>
      <c r="B118" s="19"/>
      <c r="C118" s="19"/>
      <c r="D118" s="6"/>
      <c r="E118" s="6"/>
      <c r="F118" s="6"/>
      <c r="G118" s="86"/>
      <c r="H118" s="86"/>
      <c r="I118" s="86"/>
      <c r="J118" s="8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28"/>
      <c r="Z118" s="4"/>
      <c r="AA118" s="4"/>
    </row>
    <row r="119" spans="1:27" s="4" customFormat="1" ht="24" customHeight="1" x14ac:dyDescent="0.3">
      <c r="A119" s="86"/>
      <c r="B119" s="19"/>
      <c r="C119" s="19"/>
      <c r="D119" s="6"/>
      <c r="E119" s="6"/>
      <c r="F119" s="6"/>
      <c r="G119" s="86"/>
      <c r="H119" s="86"/>
      <c r="I119" s="86"/>
      <c r="J119" s="8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28"/>
    </row>
    <row r="120" spans="1:27" s="4" customFormat="1" ht="28.5" customHeight="1" x14ac:dyDescent="0.3">
      <c r="A120" s="86"/>
      <c r="B120" s="19"/>
      <c r="C120" s="19"/>
      <c r="D120" s="6"/>
      <c r="E120" s="6"/>
      <c r="F120" s="6"/>
      <c r="G120" s="86"/>
      <c r="H120" s="86"/>
      <c r="I120" s="86"/>
      <c r="J120" s="8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28"/>
    </row>
    <row r="121" spans="1:27" s="4" customFormat="1" ht="22.5" customHeight="1" x14ac:dyDescent="0.3">
      <c r="A121" s="86"/>
      <c r="B121" s="19"/>
      <c r="C121" s="19"/>
      <c r="D121" s="6"/>
      <c r="E121" s="6"/>
      <c r="F121" s="6"/>
      <c r="G121" s="86"/>
      <c r="H121" s="86"/>
      <c r="I121" s="86"/>
      <c r="J121" s="8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28"/>
    </row>
    <row r="122" spans="1:27" s="4" customFormat="1" ht="24" customHeight="1" x14ac:dyDescent="0.3">
      <c r="A122" s="86"/>
      <c r="B122" s="19"/>
      <c r="C122" s="19"/>
      <c r="D122" s="6"/>
      <c r="E122" s="6"/>
      <c r="F122" s="6"/>
      <c r="G122" s="86"/>
      <c r="H122" s="86"/>
      <c r="I122" s="86"/>
      <c r="J122" s="8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28"/>
    </row>
    <row r="123" spans="1:27" s="4" customFormat="1" ht="24" customHeight="1" x14ac:dyDescent="0.3">
      <c r="A123" s="86"/>
      <c r="B123" s="19"/>
      <c r="C123" s="19"/>
      <c r="D123" s="6"/>
      <c r="E123" s="6"/>
      <c r="F123" s="6"/>
      <c r="G123" s="86"/>
      <c r="H123" s="86"/>
      <c r="I123" s="86"/>
      <c r="J123" s="8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28"/>
    </row>
    <row r="124" spans="1:27" s="4" customFormat="1" ht="24" customHeight="1" x14ac:dyDescent="0.3">
      <c r="A124" s="86"/>
      <c r="B124" s="19"/>
      <c r="C124" s="19"/>
      <c r="D124" s="6"/>
      <c r="E124" s="6"/>
      <c r="F124" s="6"/>
      <c r="G124" s="86"/>
      <c r="H124" s="86"/>
      <c r="I124" s="86"/>
      <c r="J124" s="8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28"/>
    </row>
    <row r="125" spans="1:27" s="4" customFormat="1" ht="33" customHeight="1" x14ac:dyDescent="0.3">
      <c r="A125" s="86"/>
      <c r="B125" s="19"/>
      <c r="C125" s="19"/>
      <c r="D125" s="6"/>
      <c r="E125" s="6"/>
      <c r="F125" s="6"/>
      <c r="G125" s="86"/>
      <c r="H125" s="86"/>
      <c r="I125" s="86"/>
      <c r="J125" s="8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28"/>
    </row>
    <row r="126" spans="1:27" s="4" customFormat="1" ht="29.25" customHeight="1" x14ac:dyDescent="0.3">
      <c r="A126" s="86"/>
      <c r="B126" s="19"/>
      <c r="C126" s="19"/>
      <c r="D126" s="6"/>
      <c r="E126" s="6"/>
      <c r="F126" s="6"/>
      <c r="G126" s="86"/>
      <c r="H126" s="86"/>
      <c r="I126" s="86"/>
      <c r="J126" s="8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28"/>
    </row>
    <row r="127" spans="1:27" s="4" customFormat="1" ht="24" customHeight="1" x14ac:dyDescent="0.3">
      <c r="A127" s="86"/>
      <c r="B127" s="19"/>
      <c r="C127" s="19"/>
      <c r="D127" s="6"/>
      <c r="E127" s="6"/>
      <c r="F127" s="6"/>
      <c r="G127" s="86"/>
      <c r="H127" s="86"/>
      <c r="I127" s="86"/>
      <c r="J127" s="8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28"/>
    </row>
    <row r="128" spans="1:27" s="4" customFormat="1" ht="24" customHeight="1" x14ac:dyDescent="0.3">
      <c r="A128" s="86"/>
      <c r="B128" s="19"/>
      <c r="C128" s="19"/>
      <c r="D128" s="6"/>
      <c r="E128" s="6"/>
      <c r="F128" s="6"/>
      <c r="G128" s="86"/>
      <c r="H128" s="86"/>
      <c r="I128" s="86"/>
      <c r="J128" s="8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28"/>
    </row>
    <row r="129" spans="1:27" s="4" customFormat="1" ht="24" customHeight="1" x14ac:dyDescent="0.3">
      <c r="A129" s="86"/>
      <c r="B129" s="19"/>
      <c r="C129" s="19"/>
      <c r="D129" s="6"/>
      <c r="E129" s="6"/>
      <c r="F129" s="6"/>
      <c r="G129" s="86"/>
      <c r="H129" s="86"/>
      <c r="I129" s="86"/>
      <c r="J129" s="8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28"/>
    </row>
    <row r="130" spans="1:27" s="4" customFormat="1" ht="24" customHeight="1" x14ac:dyDescent="0.3">
      <c r="A130" s="86"/>
      <c r="B130" s="19"/>
      <c r="C130" s="19"/>
      <c r="D130" s="6"/>
      <c r="E130" s="6"/>
      <c r="F130" s="6"/>
      <c r="G130" s="86"/>
      <c r="H130" s="86"/>
      <c r="I130" s="86"/>
      <c r="J130" s="8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28"/>
    </row>
    <row r="131" spans="1:27" s="4" customFormat="1" ht="24" customHeight="1" x14ac:dyDescent="0.3">
      <c r="A131" s="86"/>
      <c r="B131" s="19"/>
      <c r="C131" s="19"/>
      <c r="D131" s="6"/>
      <c r="E131" s="6"/>
      <c r="F131" s="6"/>
      <c r="G131" s="86"/>
      <c r="H131" s="86"/>
      <c r="I131" s="86"/>
      <c r="J131" s="8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28"/>
    </row>
    <row r="132" spans="1:27" s="4" customFormat="1" ht="24" customHeight="1" x14ac:dyDescent="0.3">
      <c r="A132" s="86"/>
      <c r="B132" s="19"/>
      <c r="C132" s="19"/>
      <c r="D132" s="6"/>
      <c r="E132" s="6"/>
      <c r="F132" s="6"/>
      <c r="G132" s="86"/>
      <c r="H132" s="86"/>
      <c r="I132" s="86"/>
      <c r="J132" s="8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28"/>
    </row>
    <row r="133" spans="1:27" s="4" customFormat="1" ht="24" customHeight="1" x14ac:dyDescent="0.3">
      <c r="A133" s="86"/>
      <c r="B133" s="19"/>
      <c r="C133" s="19"/>
      <c r="D133" s="6"/>
      <c r="E133" s="6"/>
      <c r="F133" s="6"/>
      <c r="G133" s="86"/>
      <c r="H133" s="86"/>
      <c r="I133" s="86"/>
      <c r="J133" s="8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28"/>
    </row>
    <row r="134" spans="1:27" s="4" customFormat="1" ht="24" customHeight="1" x14ac:dyDescent="0.3">
      <c r="A134" s="86"/>
      <c r="B134" s="19"/>
      <c r="C134" s="19"/>
      <c r="D134" s="6"/>
      <c r="E134" s="6"/>
      <c r="F134" s="6"/>
      <c r="G134" s="86"/>
      <c r="H134" s="86"/>
      <c r="I134" s="86"/>
      <c r="J134" s="8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28"/>
    </row>
    <row r="135" spans="1:27" s="4" customFormat="1" ht="24" customHeight="1" x14ac:dyDescent="0.3">
      <c r="A135" s="86"/>
      <c r="B135" s="19"/>
      <c r="C135" s="19"/>
      <c r="D135" s="6"/>
      <c r="E135" s="6"/>
      <c r="F135" s="6"/>
      <c r="G135" s="86"/>
      <c r="H135" s="86"/>
      <c r="I135" s="86"/>
      <c r="J135" s="8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28"/>
    </row>
    <row r="136" spans="1:27" s="4" customFormat="1" ht="24" customHeight="1" x14ac:dyDescent="0.3">
      <c r="A136" s="86"/>
      <c r="B136" s="19"/>
      <c r="C136" s="19"/>
      <c r="D136" s="6"/>
      <c r="E136" s="6"/>
      <c r="F136" s="6"/>
      <c r="G136" s="86"/>
      <c r="H136" s="86"/>
      <c r="I136" s="86"/>
      <c r="J136" s="8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28"/>
    </row>
    <row r="137" spans="1:27" s="4" customFormat="1" ht="24" customHeight="1" x14ac:dyDescent="0.3">
      <c r="A137" s="86"/>
      <c r="B137" s="19"/>
      <c r="C137" s="19"/>
      <c r="D137" s="6"/>
      <c r="E137" s="6"/>
      <c r="F137" s="6"/>
      <c r="G137" s="86"/>
      <c r="H137" s="86"/>
      <c r="I137" s="86"/>
      <c r="J137" s="8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28"/>
    </row>
    <row r="138" spans="1:27" s="4" customFormat="1" ht="24" customHeight="1" x14ac:dyDescent="0.3">
      <c r="A138" s="86"/>
      <c r="B138" s="19"/>
      <c r="C138" s="19"/>
      <c r="D138" s="6"/>
      <c r="E138" s="6"/>
      <c r="F138" s="6"/>
      <c r="G138" s="86"/>
      <c r="H138" s="86"/>
      <c r="I138" s="86"/>
      <c r="J138" s="8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28"/>
    </row>
    <row r="139" spans="1:27" s="4" customFormat="1" ht="24" customHeight="1" x14ac:dyDescent="0.3">
      <c r="A139" s="86"/>
      <c r="B139" s="19"/>
      <c r="C139" s="19"/>
      <c r="D139" s="6"/>
      <c r="E139" s="6"/>
      <c r="F139" s="6"/>
      <c r="G139" s="86"/>
      <c r="H139" s="86"/>
      <c r="I139" s="86"/>
      <c r="J139" s="8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28"/>
    </row>
    <row r="140" spans="1:27" s="4" customFormat="1" ht="28.5" customHeight="1" x14ac:dyDescent="0.3">
      <c r="A140" s="86"/>
      <c r="B140" s="19"/>
      <c r="C140" s="19"/>
      <c r="D140" s="6"/>
      <c r="E140" s="6"/>
      <c r="F140" s="6"/>
      <c r="G140" s="86"/>
      <c r="H140" s="86"/>
      <c r="I140" s="86"/>
      <c r="J140" s="8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28"/>
    </row>
    <row r="141" spans="1:27" s="4" customFormat="1" ht="21.75" customHeight="1" x14ac:dyDescent="0.3">
      <c r="A141" s="86"/>
      <c r="B141" s="19"/>
      <c r="C141" s="19"/>
      <c r="D141" s="6"/>
      <c r="E141" s="6"/>
      <c r="F141" s="6"/>
      <c r="G141" s="86"/>
      <c r="H141" s="86"/>
      <c r="I141" s="86"/>
      <c r="J141" s="8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28"/>
    </row>
    <row r="142" spans="1:27" s="7" customFormat="1" ht="21.75" customHeight="1" x14ac:dyDescent="0.3">
      <c r="A142" s="86"/>
      <c r="B142" s="19"/>
      <c r="C142" s="19"/>
      <c r="D142" s="6"/>
      <c r="E142" s="6"/>
      <c r="F142" s="6"/>
      <c r="G142" s="86"/>
      <c r="H142" s="86"/>
      <c r="I142" s="86"/>
      <c r="J142" s="8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28"/>
      <c r="Z142" s="4"/>
      <c r="AA142" s="4"/>
    </row>
    <row r="143" spans="1:27" s="7" customFormat="1" ht="21.75" customHeight="1" x14ac:dyDescent="0.3">
      <c r="A143" s="86"/>
      <c r="B143" s="19"/>
      <c r="C143" s="19"/>
      <c r="D143" s="6"/>
      <c r="E143" s="6"/>
      <c r="F143" s="6"/>
      <c r="G143" s="86"/>
      <c r="H143" s="86"/>
      <c r="I143" s="86"/>
      <c r="J143" s="8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28"/>
      <c r="Z143" s="4"/>
      <c r="AA143" s="4"/>
    </row>
    <row r="144" spans="1:27" s="7" customFormat="1" ht="21.75" customHeight="1" x14ac:dyDescent="0.3">
      <c r="A144" s="86"/>
      <c r="B144" s="19"/>
      <c r="C144" s="19"/>
      <c r="D144" s="6"/>
      <c r="E144" s="6"/>
      <c r="F144" s="6"/>
      <c r="G144" s="86"/>
      <c r="H144" s="86"/>
      <c r="I144" s="86"/>
      <c r="J144" s="8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28"/>
      <c r="Z144" s="4"/>
      <c r="AA144" s="4"/>
    </row>
    <row r="145" spans="1:27" s="7" customFormat="1" ht="23.25" customHeight="1" x14ac:dyDescent="0.3">
      <c r="A145" s="86"/>
      <c r="B145" s="19"/>
      <c r="C145" s="19"/>
      <c r="D145" s="6"/>
      <c r="E145" s="6"/>
      <c r="F145" s="6"/>
      <c r="G145" s="86"/>
      <c r="H145" s="86"/>
      <c r="I145" s="86"/>
      <c r="J145" s="8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28"/>
      <c r="Z145" s="4"/>
      <c r="AA145" s="4"/>
    </row>
    <row r="146" spans="1:27" s="7" customFormat="1" ht="23.25" customHeight="1" x14ac:dyDescent="0.3">
      <c r="A146" s="86"/>
      <c r="B146" s="19"/>
      <c r="C146" s="19"/>
      <c r="D146" s="6"/>
      <c r="E146" s="6"/>
      <c r="F146" s="6"/>
      <c r="G146" s="86"/>
      <c r="H146" s="86"/>
      <c r="I146" s="86"/>
      <c r="J146" s="8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28"/>
      <c r="Z146" s="4"/>
      <c r="AA146" s="4"/>
    </row>
    <row r="147" spans="1:27" s="7" customFormat="1" ht="23.25" customHeight="1" x14ac:dyDescent="0.3">
      <c r="A147" s="86"/>
      <c r="B147" s="19"/>
      <c r="C147" s="19"/>
      <c r="D147" s="6"/>
      <c r="E147" s="6"/>
      <c r="F147" s="6"/>
      <c r="G147" s="86"/>
      <c r="H147" s="86"/>
      <c r="I147" s="86"/>
      <c r="J147" s="8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28"/>
      <c r="Z147" s="4"/>
      <c r="AA147" s="4"/>
    </row>
    <row r="148" spans="1:27" s="7" customFormat="1" ht="23.25" customHeight="1" x14ac:dyDescent="0.3">
      <c r="A148" s="86"/>
      <c r="B148" s="19"/>
      <c r="C148" s="19"/>
      <c r="D148" s="6"/>
      <c r="E148" s="6"/>
      <c r="F148" s="6"/>
      <c r="G148" s="86"/>
      <c r="H148" s="86"/>
      <c r="I148" s="86"/>
      <c r="J148" s="8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28"/>
      <c r="Z148" s="4"/>
      <c r="AA148" s="4"/>
    </row>
    <row r="149" spans="1:27" s="7" customFormat="1" ht="23.25" customHeight="1" x14ac:dyDescent="0.3">
      <c r="A149" s="86"/>
      <c r="B149" s="19"/>
      <c r="C149" s="19"/>
      <c r="D149" s="6"/>
      <c r="E149" s="6"/>
      <c r="F149" s="6"/>
      <c r="G149" s="86"/>
      <c r="H149" s="86"/>
      <c r="I149" s="86"/>
      <c r="J149" s="8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28"/>
      <c r="Z149" s="4"/>
      <c r="AA149" s="4"/>
    </row>
    <row r="150" spans="1:27" s="7" customFormat="1" ht="23.25" customHeight="1" x14ac:dyDescent="0.3">
      <c r="A150" s="86"/>
      <c r="B150" s="19"/>
      <c r="C150" s="19"/>
      <c r="D150" s="6"/>
      <c r="E150" s="6"/>
      <c r="F150" s="6"/>
      <c r="G150" s="86"/>
      <c r="H150" s="86"/>
      <c r="I150" s="86"/>
      <c r="J150" s="8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28"/>
      <c r="Z150" s="4"/>
      <c r="AA150" s="4"/>
    </row>
    <row r="151" spans="1:27" s="7" customFormat="1" ht="23.25" customHeight="1" x14ac:dyDescent="0.3">
      <c r="A151" s="86"/>
      <c r="B151" s="19"/>
      <c r="C151" s="19"/>
      <c r="D151" s="6"/>
      <c r="E151" s="6"/>
      <c r="F151" s="6"/>
      <c r="G151" s="86"/>
      <c r="H151" s="86"/>
      <c r="I151" s="86"/>
      <c r="J151" s="8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28"/>
      <c r="Z151" s="4"/>
      <c r="AA151" s="4"/>
    </row>
    <row r="152" spans="1:27" s="7" customFormat="1" ht="23.25" customHeight="1" x14ac:dyDescent="0.3">
      <c r="A152" s="86"/>
      <c r="B152" s="19"/>
      <c r="C152" s="19"/>
      <c r="D152" s="6"/>
      <c r="E152" s="6"/>
      <c r="F152" s="6"/>
      <c r="G152" s="86"/>
      <c r="H152" s="86"/>
      <c r="I152" s="86"/>
      <c r="J152" s="8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28"/>
      <c r="Z152" s="4"/>
      <c r="AA152" s="4"/>
    </row>
    <row r="153" spans="1:27" s="1" customFormat="1" ht="24.75" customHeight="1" x14ac:dyDescent="0.3">
      <c r="A153" s="86"/>
      <c r="B153" s="19"/>
      <c r="C153" s="19"/>
      <c r="D153" s="6"/>
      <c r="E153" s="6"/>
      <c r="F153" s="6"/>
      <c r="G153" s="86"/>
      <c r="H153" s="86"/>
      <c r="I153" s="86"/>
      <c r="J153" s="8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28"/>
    </row>
    <row r="154" spans="1:27" s="4" customFormat="1" ht="24" customHeight="1" x14ac:dyDescent="0.3">
      <c r="A154" s="86"/>
      <c r="B154" s="19"/>
      <c r="C154" s="19"/>
      <c r="D154" s="6"/>
      <c r="E154" s="6"/>
      <c r="F154" s="6"/>
      <c r="G154" s="86"/>
      <c r="H154" s="86"/>
      <c r="I154" s="86"/>
      <c r="J154" s="8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28"/>
    </row>
    <row r="155" spans="1:27" s="4" customFormat="1" ht="24" customHeight="1" x14ac:dyDescent="0.3">
      <c r="A155" s="86"/>
      <c r="B155" s="19"/>
      <c r="C155" s="19"/>
      <c r="D155" s="6"/>
      <c r="E155" s="6"/>
      <c r="F155" s="6"/>
      <c r="G155" s="86"/>
      <c r="H155" s="86"/>
      <c r="I155" s="86"/>
      <c r="J155" s="8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28"/>
    </row>
    <row r="156" spans="1:27" s="4" customFormat="1" ht="24" customHeight="1" x14ac:dyDescent="0.3">
      <c r="A156" s="86"/>
      <c r="B156" s="19"/>
      <c r="C156" s="19"/>
      <c r="D156" s="6"/>
      <c r="E156" s="6"/>
      <c r="F156" s="6"/>
      <c r="G156" s="86"/>
      <c r="H156" s="86"/>
      <c r="I156" s="86"/>
      <c r="J156" s="8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28"/>
    </row>
    <row r="157" spans="1:27" s="4" customFormat="1" ht="24" customHeight="1" x14ac:dyDescent="0.3">
      <c r="A157" s="86"/>
      <c r="B157" s="19"/>
      <c r="C157" s="19"/>
      <c r="D157" s="6"/>
      <c r="E157" s="6"/>
      <c r="F157" s="6"/>
      <c r="G157" s="86"/>
      <c r="H157" s="86"/>
      <c r="I157" s="86"/>
      <c r="J157" s="8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28"/>
    </row>
    <row r="158" spans="1:27" s="7" customFormat="1" ht="23.25" customHeight="1" x14ac:dyDescent="0.3">
      <c r="A158" s="86"/>
      <c r="B158" s="19"/>
      <c r="C158" s="19"/>
      <c r="D158" s="6"/>
      <c r="E158" s="6"/>
      <c r="F158" s="6"/>
      <c r="G158" s="86"/>
      <c r="H158" s="86"/>
      <c r="I158" s="86"/>
      <c r="J158" s="8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28"/>
      <c r="Z158" s="4"/>
      <c r="AA158" s="4"/>
    </row>
    <row r="159" spans="1:27" s="7" customFormat="1" ht="27.75" customHeight="1" x14ac:dyDescent="0.3">
      <c r="A159" s="86"/>
      <c r="B159" s="19"/>
      <c r="C159" s="19"/>
      <c r="D159" s="6"/>
      <c r="E159" s="6"/>
      <c r="F159" s="6"/>
      <c r="G159" s="86"/>
      <c r="H159" s="86"/>
      <c r="I159" s="86"/>
      <c r="J159" s="8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28"/>
      <c r="Z159" s="4"/>
      <c r="AA159" s="4"/>
    </row>
    <row r="160" spans="1:27" s="7" customFormat="1" ht="23.25" customHeight="1" x14ac:dyDescent="0.3">
      <c r="A160" s="86"/>
      <c r="B160" s="19"/>
      <c r="C160" s="19"/>
      <c r="D160" s="6"/>
      <c r="E160" s="6"/>
      <c r="F160" s="6"/>
      <c r="G160" s="86"/>
      <c r="H160" s="86"/>
      <c r="I160" s="86"/>
      <c r="J160" s="8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28"/>
      <c r="Z160" s="4"/>
      <c r="AA160" s="4"/>
    </row>
    <row r="161" spans="1:27" s="7" customFormat="1" ht="18.75" customHeight="1" x14ac:dyDescent="0.3">
      <c r="A161" s="86"/>
      <c r="B161" s="19"/>
      <c r="C161" s="19"/>
      <c r="D161" s="6"/>
      <c r="E161" s="6"/>
      <c r="F161" s="6"/>
      <c r="G161" s="86"/>
      <c r="H161" s="86"/>
      <c r="I161" s="86"/>
      <c r="J161" s="8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28"/>
      <c r="Z161" s="4"/>
      <c r="AA161" s="4"/>
    </row>
    <row r="162" spans="1:27" s="7" customFormat="1" ht="18.75" customHeight="1" x14ac:dyDescent="0.3">
      <c r="A162" s="86"/>
      <c r="B162" s="19"/>
      <c r="C162" s="19"/>
      <c r="D162" s="6"/>
      <c r="E162" s="6"/>
      <c r="F162" s="6"/>
      <c r="G162" s="86"/>
      <c r="H162" s="86"/>
      <c r="I162" s="86"/>
      <c r="J162" s="8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28"/>
      <c r="Z162" s="4"/>
      <c r="AA162" s="4"/>
    </row>
    <row r="163" spans="1:27" s="7" customFormat="1" ht="18.75" customHeight="1" x14ac:dyDescent="0.3">
      <c r="A163" s="86"/>
      <c r="B163" s="19"/>
      <c r="C163" s="19"/>
      <c r="D163" s="6"/>
      <c r="E163" s="6"/>
      <c r="F163" s="6"/>
      <c r="G163" s="86"/>
      <c r="H163" s="86"/>
      <c r="I163" s="86"/>
      <c r="J163" s="8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28"/>
      <c r="Z163" s="4"/>
      <c r="AA163" s="4"/>
    </row>
    <row r="164" spans="1:27" s="7" customFormat="1" ht="18.75" customHeight="1" x14ac:dyDescent="0.3">
      <c r="A164" s="86"/>
      <c r="B164" s="19"/>
      <c r="C164" s="19"/>
      <c r="D164" s="6"/>
      <c r="E164" s="6"/>
      <c r="F164" s="6"/>
      <c r="G164" s="86"/>
      <c r="H164" s="86"/>
      <c r="I164" s="86"/>
      <c r="J164" s="8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28"/>
      <c r="Z164" s="4"/>
      <c r="AA164" s="4"/>
    </row>
    <row r="165" spans="1:27" s="7" customFormat="1" ht="25.5" customHeight="1" x14ac:dyDescent="0.3">
      <c r="A165" s="86"/>
      <c r="B165" s="19"/>
      <c r="C165" s="19"/>
      <c r="D165" s="6"/>
      <c r="E165" s="6"/>
      <c r="F165" s="6"/>
      <c r="G165" s="86"/>
      <c r="H165" s="86"/>
      <c r="I165" s="86"/>
      <c r="J165" s="8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28"/>
      <c r="Z165" s="4"/>
      <c r="AA165" s="4"/>
    </row>
    <row r="166" spans="1:27" s="7" customFormat="1" ht="22.5" customHeight="1" x14ac:dyDescent="0.3">
      <c r="A166" s="86"/>
      <c r="B166" s="19"/>
      <c r="C166" s="19"/>
      <c r="D166" s="6"/>
      <c r="E166" s="6"/>
      <c r="F166" s="6"/>
      <c r="G166" s="86"/>
      <c r="H166" s="86"/>
      <c r="I166" s="86"/>
      <c r="J166" s="8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28"/>
      <c r="Z166" s="4"/>
      <c r="AA166" s="4"/>
    </row>
    <row r="167" spans="1:27" s="7" customFormat="1" ht="21" customHeight="1" x14ac:dyDescent="0.3">
      <c r="A167" s="86"/>
      <c r="B167" s="19"/>
      <c r="C167" s="19"/>
      <c r="D167" s="6"/>
      <c r="E167" s="6"/>
      <c r="F167" s="6"/>
      <c r="G167" s="86"/>
      <c r="H167" s="86"/>
      <c r="I167" s="86"/>
      <c r="J167" s="8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28"/>
      <c r="Z167" s="4"/>
      <c r="AA167" s="4"/>
    </row>
    <row r="168" spans="1:27" s="7" customFormat="1" ht="33" customHeight="1" x14ac:dyDescent="0.3">
      <c r="A168" s="86"/>
      <c r="B168" s="19"/>
      <c r="C168" s="19"/>
      <c r="D168" s="6"/>
      <c r="E168" s="6"/>
      <c r="F168" s="6"/>
      <c r="G168" s="86"/>
      <c r="H168" s="86"/>
      <c r="I168" s="86"/>
      <c r="J168" s="8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28"/>
      <c r="Z168" s="4"/>
      <c r="AA168" s="4"/>
    </row>
    <row r="169" spans="1:27" s="7" customFormat="1" ht="62.25" customHeight="1" x14ac:dyDescent="0.3">
      <c r="A169" s="86"/>
      <c r="B169" s="19"/>
      <c r="C169" s="19"/>
      <c r="D169" s="6"/>
      <c r="E169" s="6"/>
      <c r="F169" s="6"/>
      <c r="G169" s="86"/>
      <c r="H169" s="86"/>
      <c r="I169" s="86"/>
      <c r="J169" s="8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28"/>
      <c r="Z169" s="4"/>
      <c r="AA169" s="4"/>
    </row>
    <row r="170" spans="1:27" ht="20.25" customHeight="1" x14ac:dyDescent="0.3">
      <c r="A170" s="86"/>
      <c r="B170" s="19"/>
      <c r="C170" s="19"/>
      <c r="D170" s="6"/>
      <c r="E170" s="6"/>
      <c r="F170" s="6"/>
      <c r="G170" s="86"/>
      <c r="H170" s="86"/>
      <c r="I170" s="86"/>
      <c r="J170" s="8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28"/>
      <c r="Z170" s="5"/>
      <c r="AA170" s="5"/>
    </row>
    <row r="171" spans="1:27" ht="20.25" customHeight="1" x14ac:dyDescent="0.3">
      <c r="A171" s="86"/>
      <c r="B171" s="19"/>
      <c r="C171" s="19"/>
      <c r="D171" s="6"/>
      <c r="E171" s="6"/>
      <c r="F171" s="6"/>
      <c r="G171" s="86"/>
      <c r="H171" s="86"/>
      <c r="I171" s="86"/>
      <c r="J171" s="8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28"/>
      <c r="Z171" s="5"/>
      <c r="AA171" s="5"/>
    </row>
    <row r="172" spans="1:27" ht="20.25" customHeight="1" x14ac:dyDescent="0.3">
      <c r="A172" s="86"/>
      <c r="B172" s="19"/>
      <c r="C172" s="19"/>
      <c r="D172" s="6"/>
      <c r="E172" s="6"/>
      <c r="F172" s="6"/>
      <c r="G172" s="86"/>
      <c r="H172" s="86"/>
      <c r="I172" s="86"/>
      <c r="J172" s="8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28"/>
      <c r="Z172" s="5"/>
      <c r="AA172" s="5"/>
    </row>
    <row r="173" spans="1:27" ht="24" customHeight="1" x14ac:dyDescent="0.3">
      <c r="A173" s="86"/>
      <c r="B173" s="19"/>
      <c r="C173" s="19"/>
      <c r="D173" s="6"/>
      <c r="E173" s="6"/>
      <c r="F173" s="6"/>
      <c r="G173" s="86"/>
      <c r="H173" s="86"/>
      <c r="I173" s="86"/>
      <c r="J173" s="8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28"/>
      <c r="Z173" s="5"/>
      <c r="AA173" s="5"/>
    </row>
    <row r="174" spans="1:27" ht="24" customHeight="1" x14ac:dyDescent="0.3">
      <c r="A174" s="86"/>
      <c r="B174" s="19"/>
      <c r="C174" s="19"/>
      <c r="D174" s="6"/>
      <c r="E174" s="6"/>
      <c r="F174" s="6"/>
      <c r="G174" s="86"/>
      <c r="H174" s="86"/>
      <c r="I174" s="86"/>
      <c r="J174" s="8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28"/>
      <c r="Z174" s="5"/>
      <c r="AA174" s="5"/>
    </row>
    <row r="175" spans="1:27" ht="24" customHeight="1" x14ac:dyDescent="0.3">
      <c r="A175" s="86"/>
      <c r="B175" s="19"/>
      <c r="C175" s="19"/>
      <c r="D175" s="6"/>
      <c r="E175" s="6"/>
      <c r="F175" s="6"/>
      <c r="G175" s="86"/>
      <c r="H175" s="86"/>
      <c r="I175" s="86"/>
      <c r="J175" s="8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28"/>
      <c r="Z175" s="5"/>
      <c r="AA175" s="5"/>
    </row>
    <row r="176" spans="1:27" ht="23.25" customHeight="1" x14ac:dyDescent="0.3">
      <c r="A176" s="86"/>
      <c r="B176" s="19"/>
      <c r="C176" s="19"/>
      <c r="D176" s="6"/>
      <c r="E176" s="6"/>
      <c r="F176" s="6"/>
      <c r="G176" s="86"/>
      <c r="H176" s="86"/>
      <c r="I176" s="86"/>
      <c r="J176" s="8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28"/>
      <c r="Z176" s="5"/>
      <c r="AA176" s="5"/>
    </row>
    <row r="177" spans="1:27" ht="23.25" customHeight="1" x14ac:dyDescent="0.3">
      <c r="A177" s="86"/>
      <c r="B177" s="19"/>
      <c r="C177" s="19"/>
      <c r="D177" s="6"/>
      <c r="E177" s="6"/>
      <c r="F177" s="6"/>
      <c r="G177" s="86"/>
      <c r="H177" s="86"/>
      <c r="I177" s="86"/>
      <c r="J177" s="8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28"/>
      <c r="Z177" s="5"/>
      <c r="AA177" s="5"/>
    </row>
    <row r="178" spans="1:27" ht="23.25" customHeight="1" x14ac:dyDescent="0.3">
      <c r="A178" s="86"/>
      <c r="B178" s="19"/>
      <c r="C178" s="19"/>
      <c r="D178" s="6"/>
      <c r="E178" s="6"/>
      <c r="F178" s="6"/>
      <c r="G178" s="86"/>
      <c r="H178" s="86"/>
      <c r="I178" s="86"/>
      <c r="J178" s="8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28"/>
      <c r="Z178" s="5"/>
      <c r="AA178" s="5"/>
    </row>
    <row r="179" spans="1:27" ht="23.25" customHeight="1" x14ac:dyDescent="0.3">
      <c r="A179" s="86"/>
      <c r="B179" s="19"/>
      <c r="C179" s="19"/>
      <c r="D179" s="6"/>
      <c r="E179" s="6"/>
      <c r="F179" s="6"/>
      <c r="G179" s="86"/>
      <c r="H179" s="86"/>
      <c r="I179" s="86"/>
      <c r="J179" s="8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28"/>
      <c r="Z179" s="5"/>
      <c r="AA179" s="5"/>
    </row>
    <row r="180" spans="1:27" ht="23.25" customHeight="1" x14ac:dyDescent="0.3">
      <c r="A180" s="86"/>
      <c r="B180" s="19"/>
      <c r="C180" s="19"/>
      <c r="D180" s="6"/>
      <c r="E180" s="6"/>
      <c r="F180" s="6"/>
      <c r="G180" s="86"/>
      <c r="H180" s="86"/>
      <c r="I180" s="86"/>
      <c r="J180" s="8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28"/>
      <c r="Z180" s="5"/>
      <c r="AA180" s="5"/>
    </row>
    <row r="181" spans="1:27" s="7" customFormat="1" ht="36" customHeight="1" x14ac:dyDescent="0.3">
      <c r="A181" s="86"/>
      <c r="B181" s="19"/>
      <c r="C181" s="19"/>
      <c r="D181" s="6"/>
      <c r="E181" s="6"/>
      <c r="F181" s="6"/>
      <c r="G181" s="86"/>
      <c r="H181" s="86"/>
      <c r="I181" s="86"/>
      <c r="J181" s="8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28"/>
      <c r="Z181" s="4"/>
      <c r="AA181" s="4"/>
    </row>
    <row r="182" spans="1:27" s="7" customFormat="1" ht="18.75" customHeight="1" x14ac:dyDescent="0.3">
      <c r="A182" s="86"/>
      <c r="B182" s="19"/>
      <c r="C182" s="19"/>
      <c r="D182" s="6"/>
      <c r="E182" s="6"/>
      <c r="F182" s="6"/>
      <c r="G182" s="86"/>
      <c r="H182" s="86"/>
      <c r="I182" s="86"/>
      <c r="J182" s="8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28"/>
      <c r="Z182" s="4"/>
      <c r="AA182" s="4"/>
    </row>
    <row r="183" spans="1:27" s="7" customFormat="1" ht="18.75" customHeight="1" x14ac:dyDescent="0.3">
      <c r="A183" s="86"/>
      <c r="B183" s="19"/>
      <c r="C183" s="19"/>
      <c r="D183" s="6"/>
      <c r="E183" s="6"/>
      <c r="F183" s="6"/>
      <c r="G183" s="86"/>
      <c r="H183" s="86"/>
      <c r="I183" s="86"/>
      <c r="J183" s="8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28"/>
      <c r="Z183" s="4"/>
      <c r="AA183" s="4"/>
    </row>
    <row r="184" spans="1:27" s="7" customFormat="1" ht="18.75" customHeight="1" x14ac:dyDescent="0.3">
      <c r="A184" s="86"/>
      <c r="B184" s="19"/>
      <c r="C184" s="19"/>
      <c r="D184" s="6"/>
      <c r="E184" s="6"/>
      <c r="F184" s="6"/>
      <c r="G184" s="86"/>
      <c r="H184" s="86"/>
      <c r="I184" s="86"/>
      <c r="J184" s="8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28"/>
      <c r="Z184" s="4"/>
      <c r="AA184" s="4"/>
    </row>
    <row r="185" spans="1:27" s="7" customFormat="1" ht="18.75" customHeight="1" x14ac:dyDescent="0.3">
      <c r="A185" s="86"/>
      <c r="B185" s="19"/>
      <c r="C185" s="19"/>
      <c r="D185" s="6"/>
      <c r="E185" s="6"/>
      <c r="F185" s="6"/>
      <c r="G185" s="86"/>
      <c r="H185" s="86"/>
      <c r="I185" s="86"/>
      <c r="J185" s="8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28"/>
      <c r="Z185" s="4"/>
      <c r="AA185" s="4"/>
    </row>
    <row r="186" spans="1:27" s="7" customFormat="1" ht="18.75" customHeight="1" x14ac:dyDescent="0.3">
      <c r="A186" s="86"/>
      <c r="B186" s="19"/>
      <c r="C186" s="19"/>
      <c r="D186" s="6"/>
      <c r="E186" s="6"/>
      <c r="F186" s="6"/>
      <c r="G186" s="86"/>
      <c r="H186" s="86"/>
      <c r="I186" s="86"/>
      <c r="J186" s="8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28"/>
      <c r="Z186" s="4"/>
      <c r="AA186" s="4"/>
    </row>
    <row r="187" spans="1:27" s="7" customFormat="1" ht="18.75" customHeight="1" x14ac:dyDescent="0.3">
      <c r="A187" s="86"/>
      <c r="B187" s="19"/>
      <c r="C187" s="19"/>
      <c r="D187" s="6"/>
      <c r="E187" s="6"/>
      <c r="F187" s="6"/>
      <c r="G187" s="86"/>
      <c r="H187" s="86"/>
      <c r="I187" s="86"/>
      <c r="J187" s="8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28"/>
      <c r="Z187" s="4"/>
      <c r="AA187" s="4"/>
    </row>
    <row r="188" spans="1:27" s="7" customFormat="1" ht="18.75" customHeight="1" x14ac:dyDescent="0.3">
      <c r="A188" s="86"/>
      <c r="B188" s="19"/>
      <c r="C188" s="19"/>
      <c r="D188" s="6"/>
      <c r="E188" s="6"/>
      <c r="F188" s="6"/>
      <c r="G188" s="86"/>
      <c r="H188" s="86"/>
      <c r="I188" s="86"/>
      <c r="J188" s="8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28"/>
      <c r="Z188" s="4"/>
      <c r="AA188" s="4"/>
    </row>
    <row r="189" spans="1:27" s="7" customFormat="1" ht="18.75" customHeight="1" x14ac:dyDescent="0.3">
      <c r="A189" s="86"/>
      <c r="B189" s="19"/>
      <c r="C189" s="19"/>
      <c r="D189" s="6"/>
      <c r="E189" s="6"/>
      <c r="F189" s="6"/>
      <c r="G189" s="86"/>
      <c r="H189" s="86"/>
      <c r="I189" s="86"/>
      <c r="J189" s="8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28"/>
      <c r="Z189" s="4"/>
      <c r="AA189" s="4"/>
    </row>
    <row r="190" spans="1:27" s="7" customFormat="1" ht="29.25" customHeight="1" x14ac:dyDescent="0.3">
      <c r="A190" s="86"/>
      <c r="B190" s="19"/>
      <c r="C190" s="19"/>
      <c r="D190" s="6"/>
      <c r="E190" s="6"/>
      <c r="F190" s="6"/>
      <c r="G190" s="86"/>
      <c r="H190" s="86"/>
      <c r="I190" s="86"/>
      <c r="J190" s="8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28"/>
      <c r="Z190" s="4"/>
      <c r="AA190" s="4"/>
    </row>
    <row r="191" spans="1:27" s="7" customFormat="1" ht="18.75" customHeight="1" x14ac:dyDescent="0.3">
      <c r="A191" s="86"/>
      <c r="B191" s="19"/>
      <c r="C191" s="19"/>
      <c r="D191" s="6"/>
      <c r="E191" s="6"/>
      <c r="F191" s="6"/>
      <c r="G191" s="86"/>
      <c r="H191" s="86"/>
      <c r="I191" s="86"/>
      <c r="J191" s="8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28"/>
      <c r="Z191" s="4"/>
      <c r="AA191" s="4"/>
    </row>
    <row r="192" spans="1:27" s="7" customFormat="1" ht="18.75" customHeight="1" x14ac:dyDescent="0.3">
      <c r="A192" s="86"/>
      <c r="B192" s="19"/>
      <c r="C192" s="19"/>
      <c r="D192" s="6"/>
      <c r="E192" s="6"/>
      <c r="F192" s="6"/>
      <c r="G192" s="86"/>
      <c r="H192" s="86"/>
      <c r="I192" s="86"/>
      <c r="J192" s="8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28"/>
      <c r="Z192" s="4"/>
      <c r="AA192" s="4"/>
    </row>
    <row r="193" spans="1:27" s="7" customFormat="1" ht="18.75" customHeight="1" x14ac:dyDescent="0.3">
      <c r="A193" s="86"/>
      <c r="B193" s="19"/>
      <c r="C193" s="19"/>
      <c r="D193" s="6"/>
      <c r="E193" s="6"/>
      <c r="F193" s="6"/>
      <c r="G193" s="86"/>
      <c r="H193" s="86"/>
      <c r="I193" s="86"/>
      <c r="J193" s="8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28"/>
      <c r="Z193" s="4"/>
      <c r="AA193" s="4"/>
    </row>
    <row r="194" spans="1:27" s="7" customFormat="1" ht="18.75" customHeight="1" x14ac:dyDescent="0.3">
      <c r="A194" s="86"/>
      <c r="B194" s="19"/>
      <c r="C194" s="19"/>
      <c r="D194" s="6"/>
      <c r="E194" s="6"/>
      <c r="F194" s="6"/>
      <c r="G194" s="86"/>
      <c r="H194" s="86"/>
      <c r="I194" s="86"/>
      <c r="J194" s="8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28"/>
      <c r="Z194" s="4"/>
      <c r="AA194" s="4"/>
    </row>
    <row r="195" spans="1:27" s="7" customFormat="1" ht="18.75" customHeight="1" x14ac:dyDescent="0.3">
      <c r="A195" s="86"/>
      <c r="B195" s="19"/>
      <c r="C195" s="19"/>
      <c r="D195" s="6"/>
      <c r="E195" s="6"/>
      <c r="F195" s="6"/>
      <c r="G195" s="86"/>
      <c r="H195" s="86"/>
      <c r="I195" s="86"/>
      <c r="J195" s="8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28"/>
      <c r="Z195" s="4"/>
      <c r="AA195" s="4"/>
    </row>
    <row r="196" spans="1:27" s="7" customFormat="1" ht="18.75" customHeight="1" x14ac:dyDescent="0.3">
      <c r="A196" s="86"/>
      <c r="B196" s="19"/>
      <c r="C196" s="19"/>
      <c r="D196" s="6"/>
      <c r="E196" s="6"/>
      <c r="F196" s="6"/>
      <c r="G196" s="86"/>
      <c r="H196" s="86"/>
      <c r="I196" s="86"/>
      <c r="J196" s="8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28"/>
      <c r="Z196" s="4"/>
      <c r="AA196" s="4"/>
    </row>
    <row r="197" spans="1:27" s="7" customFormat="1" ht="18.75" customHeight="1" x14ac:dyDescent="0.3">
      <c r="A197" s="86"/>
      <c r="B197" s="19"/>
      <c r="C197" s="19"/>
      <c r="D197" s="6"/>
      <c r="E197" s="6"/>
      <c r="F197" s="6"/>
      <c r="G197" s="86"/>
      <c r="H197" s="86"/>
      <c r="I197" s="86"/>
      <c r="J197" s="8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28"/>
      <c r="Z197" s="4"/>
      <c r="AA197" s="4"/>
    </row>
    <row r="198" spans="1:27" s="7" customFormat="1" ht="18.75" customHeight="1" x14ac:dyDescent="0.3">
      <c r="A198" s="86"/>
      <c r="B198" s="19"/>
      <c r="C198" s="19"/>
      <c r="D198" s="6"/>
      <c r="E198" s="6"/>
      <c r="F198" s="6"/>
      <c r="G198" s="86"/>
      <c r="H198" s="86"/>
      <c r="I198" s="86"/>
      <c r="J198" s="8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28"/>
      <c r="Z198" s="4"/>
      <c r="AA198" s="4"/>
    </row>
    <row r="199" spans="1:27" ht="25.5" customHeight="1" x14ac:dyDescent="0.3">
      <c r="A199" s="86"/>
      <c r="B199" s="19"/>
      <c r="C199" s="19"/>
      <c r="D199" s="6"/>
      <c r="E199" s="6"/>
      <c r="F199" s="6"/>
      <c r="G199" s="86"/>
      <c r="H199" s="86"/>
      <c r="I199" s="86"/>
      <c r="J199" s="8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28"/>
    </row>
    <row r="200" spans="1:27" ht="25.5" customHeight="1" x14ac:dyDescent="0.3">
      <c r="A200" s="86"/>
      <c r="B200" s="19"/>
      <c r="C200" s="19"/>
      <c r="D200" s="6"/>
      <c r="E200" s="6"/>
      <c r="F200" s="6"/>
      <c r="G200" s="86"/>
      <c r="H200" s="86"/>
      <c r="I200" s="86"/>
      <c r="J200" s="8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28"/>
    </row>
    <row r="201" spans="1:27" ht="21.75" customHeight="1" x14ac:dyDescent="0.3">
      <c r="A201" s="86"/>
      <c r="B201" s="19"/>
      <c r="C201" s="19"/>
      <c r="D201" s="6"/>
      <c r="E201" s="6"/>
      <c r="F201" s="6"/>
      <c r="G201" s="86"/>
      <c r="H201" s="86"/>
      <c r="I201" s="86"/>
      <c r="J201" s="8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28"/>
    </row>
    <row r="202" spans="1:27" s="7" customFormat="1" ht="21.75" customHeight="1" x14ac:dyDescent="0.3">
      <c r="A202" s="86"/>
      <c r="B202" s="19"/>
      <c r="C202" s="19"/>
      <c r="D202" s="6"/>
      <c r="E202" s="6"/>
      <c r="F202" s="6"/>
      <c r="G202" s="86"/>
      <c r="H202" s="86"/>
      <c r="I202" s="86"/>
      <c r="J202" s="8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28"/>
      <c r="Z202" s="4"/>
      <c r="AA202" s="4"/>
    </row>
    <row r="203" spans="1:27" s="7" customFormat="1" ht="21.75" customHeight="1" x14ac:dyDescent="0.3">
      <c r="A203" s="86"/>
      <c r="B203" s="19"/>
      <c r="C203" s="19"/>
      <c r="D203" s="6"/>
      <c r="E203" s="6"/>
      <c r="F203" s="6"/>
      <c r="G203" s="86"/>
      <c r="H203" s="86"/>
      <c r="I203" s="86"/>
      <c r="J203" s="8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28"/>
      <c r="Z203" s="4"/>
      <c r="AA203" s="4"/>
    </row>
    <row r="204" spans="1:27" s="7" customFormat="1" ht="21.75" customHeight="1" x14ac:dyDescent="0.3">
      <c r="A204" s="86"/>
      <c r="B204" s="19"/>
      <c r="C204" s="19"/>
      <c r="D204" s="6"/>
      <c r="E204" s="6"/>
      <c r="F204" s="6"/>
      <c r="G204" s="86"/>
      <c r="H204" s="86"/>
      <c r="I204" s="86"/>
      <c r="J204" s="8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28"/>
      <c r="Z204" s="4"/>
      <c r="AA204" s="4"/>
    </row>
    <row r="205" spans="1:27" ht="21.75" customHeight="1" x14ac:dyDescent="0.3">
      <c r="A205" s="86"/>
      <c r="B205" s="19"/>
      <c r="C205" s="19"/>
      <c r="D205" s="6"/>
      <c r="E205" s="6"/>
      <c r="F205" s="6"/>
      <c r="G205" s="86"/>
      <c r="H205" s="86"/>
      <c r="I205" s="86"/>
      <c r="J205" s="8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28"/>
    </row>
    <row r="206" spans="1:27" ht="21.75" customHeight="1" x14ac:dyDescent="0.3">
      <c r="A206" s="86"/>
      <c r="B206" s="19"/>
      <c r="C206" s="19"/>
      <c r="D206" s="6"/>
      <c r="E206" s="6"/>
      <c r="F206" s="6"/>
      <c r="G206" s="86"/>
      <c r="H206" s="86"/>
      <c r="I206" s="86"/>
      <c r="J206" s="8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28"/>
    </row>
    <row r="207" spans="1:27" ht="21.75" customHeight="1" x14ac:dyDescent="0.3">
      <c r="A207" s="86"/>
      <c r="B207" s="19"/>
      <c r="C207" s="19"/>
      <c r="D207" s="6"/>
      <c r="E207" s="6"/>
      <c r="F207" s="6"/>
      <c r="G207" s="86"/>
      <c r="H207" s="86"/>
      <c r="I207" s="86"/>
      <c r="J207" s="8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28"/>
    </row>
    <row r="208" spans="1:27" ht="21.75" customHeight="1" x14ac:dyDescent="0.3">
      <c r="A208" s="86"/>
      <c r="B208" s="19"/>
      <c r="C208" s="19"/>
      <c r="D208" s="6"/>
      <c r="E208" s="6"/>
      <c r="F208" s="6"/>
      <c r="G208" s="86"/>
      <c r="H208" s="86"/>
      <c r="I208" s="86"/>
      <c r="J208" s="8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28"/>
    </row>
    <row r="209" spans="1:27" ht="21.75" customHeight="1" x14ac:dyDescent="0.3">
      <c r="A209" s="86"/>
      <c r="B209" s="19"/>
      <c r="C209" s="19"/>
      <c r="D209" s="6"/>
      <c r="E209" s="6"/>
      <c r="F209" s="6"/>
      <c r="G209" s="86"/>
      <c r="H209" s="86"/>
      <c r="I209" s="86"/>
      <c r="J209" s="8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28"/>
    </row>
    <row r="210" spans="1:27" ht="21.75" customHeight="1" x14ac:dyDescent="0.3">
      <c r="A210" s="86"/>
      <c r="B210" s="19"/>
      <c r="C210" s="19"/>
      <c r="D210" s="6"/>
      <c r="E210" s="6"/>
      <c r="F210" s="6"/>
      <c r="G210" s="86"/>
      <c r="H210" s="86"/>
      <c r="I210" s="86"/>
      <c r="J210" s="8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28"/>
    </row>
    <row r="211" spans="1:27" ht="21.75" customHeight="1" x14ac:dyDescent="0.3">
      <c r="A211" s="86"/>
      <c r="B211" s="19"/>
      <c r="C211" s="19"/>
      <c r="D211" s="6"/>
      <c r="E211" s="6"/>
      <c r="F211" s="6"/>
      <c r="G211" s="86"/>
      <c r="H211" s="86"/>
      <c r="I211" s="86"/>
      <c r="J211" s="8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28"/>
    </row>
    <row r="212" spans="1:27" ht="21.75" customHeight="1" x14ac:dyDescent="0.3">
      <c r="A212" s="86"/>
      <c r="B212" s="19"/>
      <c r="C212" s="19"/>
      <c r="D212" s="6"/>
      <c r="E212" s="6"/>
      <c r="F212" s="6"/>
      <c r="G212" s="86"/>
      <c r="H212" s="86"/>
      <c r="I212" s="86"/>
      <c r="J212" s="8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28"/>
    </row>
    <row r="213" spans="1:27" ht="21.75" customHeight="1" x14ac:dyDescent="0.3">
      <c r="A213" s="86"/>
      <c r="B213" s="19"/>
      <c r="C213" s="19"/>
      <c r="D213" s="6"/>
      <c r="E213" s="6"/>
      <c r="F213" s="6"/>
      <c r="G213" s="86"/>
      <c r="H213" s="86"/>
      <c r="I213" s="86"/>
      <c r="J213" s="8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28"/>
    </row>
    <row r="214" spans="1:27" ht="21.75" customHeight="1" x14ac:dyDescent="0.3">
      <c r="A214" s="86"/>
      <c r="B214" s="19"/>
      <c r="C214" s="19"/>
      <c r="D214" s="6"/>
      <c r="E214" s="6"/>
      <c r="F214" s="6"/>
      <c r="G214" s="86"/>
      <c r="H214" s="86"/>
      <c r="I214" s="86"/>
      <c r="J214" s="8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28"/>
    </row>
    <row r="215" spans="1:27" ht="25.5" customHeight="1" x14ac:dyDescent="0.3">
      <c r="A215" s="86"/>
      <c r="B215" s="19"/>
      <c r="C215" s="19"/>
      <c r="D215" s="6"/>
      <c r="E215" s="6"/>
      <c r="F215" s="6"/>
      <c r="G215" s="86"/>
      <c r="H215" s="86"/>
      <c r="I215" s="86"/>
      <c r="J215" s="8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28"/>
    </row>
    <row r="216" spans="1:27" s="3" customFormat="1" ht="21" customHeight="1" x14ac:dyDescent="0.3">
      <c r="A216" s="86"/>
      <c r="B216" s="19"/>
      <c r="C216" s="19"/>
      <c r="D216" s="6"/>
      <c r="E216" s="6"/>
      <c r="F216" s="6"/>
      <c r="G216" s="86"/>
      <c r="H216" s="86"/>
      <c r="I216" s="86"/>
      <c r="J216" s="8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28"/>
      <c r="Z216" s="2"/>
      <c r="AA216" s="2"/>
    </row>
    <row r="217" spans="1:27" s="3" customFormat="1" ht="21" customHeight="1" x14ac:dyDescent="0.3">
      <c r="A217" s="86"/>
      <c r="B217" s="19"/>
      <c r="C217" s="19"/>
      <c r="D217" s="6"/>
      <c r="E217" s="6"/>
      <c r="F217" s="6"/>
      <c r="G217" s="86"/>
      <c r="H217" s="86"/>
      <c r="I217" s="86"/>
      <c r="J217" s="8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28"/>
      <c r="Z217" s="2"/>
      <c r="AA217" s="2"/>
    </row>
    <row r="218" spans="1:27" s="3" customFormat="1" ht="21" customHeight="1" x14ac:dyDescent="0.3">
      <c r="A218" s="86"/>
      <c r="B218" s="19"/>
      <c r="C218" s="19"/>
      <c r="D218" s="6"/>
      <c r="E218" s="6"/>
      <c r="F218" s="6"/>
      <c r="G218" s="86"/>
      <c r="H218" s="86"/>
      <c r="I218" s="86"/>
      <c r="J218" s="8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28"/>
      <c r="Z218" s="2"/>
      <c r="AA218" s="2"/>
    </row>
    <row r="219" spans="1:27" s="3" customFormat="1" ht="21" customHeight="1" x14ac:dyDescent="0.3">
      <c r="A219" s="86"/>
      <c r="B219" s="19"/>
      <c r="C219" s="19"/>
      <c r="D219" s="6"/>
      <c r="E219" s="6"/>
      <c r="F219" s="6"/>
      <c r="G219" s="86"/>
      <c r="H219" s="86"/>
      <c r="I219" s="86"/>
      <c r="J219" s="8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28"/>
      <c r="Z219" s="2"/>
      <c r="AA219" s="2"/>
    </row>
    <row r="220" spans="1:27" s="3" customFormat="1" ht="21" customHeight="1" x14ac:dyDescent="0.3">
      <c r="A220" s="86"/>
      <c r="B220" s="19"/>
      <c r="C220" s="19"/>
      <c r="D220" s="6"/>
      <c r="E220" s="6"/>
      <c r="F220" s="6"/>
      <c r="G220" s="86"/>
      <c r="H220" s="86"/>
      <c r="I220" s="86"/>
      <c r="J220" s="8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28"/>
      <c r="Z220" s="2"/>
      <c r="AA220" s="2"/>
    </row>
    <row r="221" spans="1:27" ht="25.5" customHeight="1" x14ac:dyDescent="0.3">
      <c r="A221" s="86"/>
      <c r="B221" s="19"/>
      <c r="C221" s="19"/>
      <c r="D221" s="6"/>
      <c r="E221" s="6"/>
      <c r="F221" s="6"/>
      <c r="G221" s="86"/>
      <c r="H221" s="86"/>
      <c r="I221" s="86"/>
      <c r="J221" s="8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28"/>
    </row>
    <row r="222" spans="1:27" ht="25.5" customHeight="1" x14ac:dyDescent="0.3">
      <c r="A222" s="86"/>
      <c r="B222" s="19"/>
      <c r="C222" s="19"/>
      <c r="D222" s="6"/>
      <c r="E222" s="6"/>
      <c r="F222" s="6"/>
      <c r="G222" s="86"/>
      <c r="H222" s="86"/>
      <c r="I222" s="86"/>
      <c r="J222" s="8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28"/>
    </row>
    <row r="223" spans="1:27" ht="25.5" customHeight="1" x14ac:dyDescent="0.3">
      <c r="A223" s="86"/>
      <c r="B223" s="19"/>
      <c r="C223" s="19"/>
      <c r="D223" s="6"/>
      <c r="E223" s="6"/>
      <c r="F223" s="6"/>
      <c r="G223" s="86"/>
      <c r="H223" s="86"/>
      <c r="I223" s="86"/>
      <c r="J223" s="8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28"/>
    </row>
    <row r="224" spans="1:27" ht="25.5" customHeight="1" x14ac:dyDescent="0.3">
      <c r="A224" s="86"/>
      <c r="B224" s="19"/>
      <c r="C224" s="19"/>
      <c r="D224" s="6"/>
      <c r="E224" s="6"/>
      <c r="F224" s="6"/>
      <c r="G224" s="86"/>
      <c r="H224" s="86"/>
      <c r="I224" s="86"/>
      <c r="J224" s="8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28"/>
    </row>
    <row r="225" spans="1:27" ht="25.5" customHeight="1" x14ac:dyDescent="0.3">
      <c r="A225" s="86"/>
      <c r="B225" s="19"/>
      <c r="C225" s="19"/>
      <c r="D225" s="6"/>
      <c r="E225" s="6"/>
      <c r="F225" s="6"/>
      <c r="G225" s="86"/>
      <c r="H225" s="86"/>
      <c r="I225" s="86"/>
      <c r="J225" s="8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28"/>
    </row>
    <row r="226" spans="1:27" x14ac:dyDescent="0.3">
      <c r="A226" s="86"/>
      <c r="B226" s="19"/>
      <c r="C226" s="19"/>
      <c r="D226" s="6"/>
      <c r="E226" s="6"/>
      <c r="F226" s="6"/>
      <c r="G226" s="86"/>
      <c r="H226" s="86"/>
      <c r="I226" s="86"/>
      <c r="J226" s="8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28"/>
    </row>
    <row r="227" spans="1:27" x14ac:dyDescent="0.3">
      <c r="A227" s="86"/>
      <c r="B227" s="19"/>
      <c r="C227" s="19"/>
      <c r="D227" s="6"/>
      <c r="E227" s="6"/>
      <c r="F227" s="6"/>
      <c r="G227" s="86"/>
      <c r="H227" s="86"/>
      <c r="I227" s="86"/>
      <c r="J227" s="8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28"/>
    </row>
    <row r="228" spans="1:27" x14ac:dyDescent="0.3">
      <c r="A228" s="86"/>
      <c r="B228" s="19"/>
      <c r="C228" s="19"/>
      <c r="D228" s="6"/>
      <c r="E228" s="6"/>
      <c r="F228" s="6"/>
      <c r="G228" s="86"/>
      <c r="H228" s="86"/>
      <c r="I228" s="86"/>
      <c r="J228" s="8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28"/>
    </row>
    <row r="229" spans="1:27" x14ac:dyDescent="0.3">
      <c r="A229" s="86"/>
      <c r="B229" s="19"/>
      <c r="C229" s="19"/>
      <c r="D229" s="6"/>
      <c r="E229" s="6"/>
      <c r="F229" s="6"/>
      <c r="G229" s="86"/>
      <c r="H229" s="86"/>
      <c r="I229" s="86"/>
      <c r="J229" s="8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28"/>
    </row>
    <row r="230" spans="1:27" x14ac:dyDescent="0.3">
      <c r="A230" s="86"/>
      <c r="B230" s="19"/>
      <c r="C230" s="19"/>
      <c r="D230" s="6"/>
      <c r="E230" s="6"/>
      <c r="F230" s="6"/>
      <c r="G230" s="86"/>
      <c r="H230" s="86"/>
      <c r="I230" s="86"/>
      <c r="J230" s="8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28"/>
    </row>
    <row r="231" spans="1:27" x14ac:dyDescent="0.3">
      <c r="A231" s="86"/>
      <c r="B231" s="19"/>
      <c r="C231" s="19"/>
      <c r="D231" s="6"/>
      <c r="E231" s="6"/>
      <c r="F231" s="6"/>
      <c r="G231" s="86"/>
      <c r="H231" s="86"/>
      <c r="I231" s="86"/>
      <c r="J231" s="8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28"/>
    </row>
    <row r="232" spans="1:27" x14ac:dyDescent="0.3">
      <c r="A232" s="86"/>
      <c r="B232" s="19"/>
      <c r="C232" s="19"/>
      <c r="D232" s="6"/>
      <c r="E232" s="6"/>
      <c r="F232" s="6"/>
      <c r="G232" s="86"/>
      <c r="H232" s="86"/>
      <c r="I232" s="86"/>
      <c r="J232" s="8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28"/>
    </row>
    <row r="233" spans="1:27" x14ac:dyDescent="0.3">
      <c r="A233" s="86"/>
      <c r="B233" s="19"/>
      <c r="C233" s="19"/>
      <c r="D233" s="6"/>
      <c r="E233" s="6"/>
      <c r="F233" s="6"/>
      <c r="G233" s="86"/>
      <c r="H233" s="86"/>
      <c r="I233" s="86"/>
      <c r="J233" s="8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28"/>
    </row>
    <row r="234" spans="1:27" s="7" customFormat="1" x14ac:dyDescent="0.3">
      <c r="A234" s="86"/>
      <c r="B234" s="19"/>
      <c r="C234" s="19"/>
      <c r="D234" s="6"/>
      <c r="E234" s="6"/>
      <c r="F234" s="6"/>
      <c r="G234" s="86"/>
      <c r="H234" s="86"/>
      <c r="I234" s="86"/>
      <c r="J234" s="8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28"/>
      <c r="Z234" s="4"/>
      <c r="AA234" s="4"/>
    </row>
    <row r="235" spans="1:27" s="7" customFormat="1" x14ac:dyDescent="0.3">
      <c r="A235" s="86"/>
      <c r="B235" s="19"/>
      <c r="C235" s="19"/>
      <c r="D235" s="6"/>
      <c r="E235" s="6"/>
      <c r="F235" s="6"/>
      <c r="G235" s="86"/>
      <c r="H235" s="86"/>
      <c r="I235" s="86"/>
      <c r="J235" s="8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28"/>
      <c r="Z235" s="4"/>
      <c r="AA235" s="4"/>
    </row>
    <row r="236" spans="1:27" s="7" customFormat="1" x14ac:dyDescent="0.3">
      <c r="A236" s="86"/>
      <c r="B236" s="19"/>
      <c r="C236" s="19"/>
      <c r="D236" s="6"/>
      <c r="E236" s="6"/>
      <c r="F236" s="6"/>
      <c r="G236" s="86"/>
      <c r="H236" s="86"/>
      <c r="I236" s="86"/>
      <c r="J236" s="8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28"/>
      <c r="Z236" s="4"/>
      <c r="AA236" s="4"/>
    </row>
    <row r="237" spans="1:27" s="7" customFormat="1" x14ac:dyDescent="0.3">
      <c r="A237" s="86"/>
      <c r="B237" s="19"/>
      <c r="C237" s="19"/>
      <c r="D237" s="6"/>
      <c r="E237" s="6"/>
      <c r="F237" s="6"/>
      <c r="G237" s="86"/>
      <c r="H237" s="86"/>
      <c r="I237" s="86"/>
      <c r="J237" s="8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28"/>
      <c r="Z237" s="4"/>
      <c r="AA237" s="4"/>
    </row>
    <row r="238" spans="1:27" s="7" customFormat="1" x14ac:dyDescent="0.3">
      <c r="A238" s="86"/>
      <c r="B238" s="19"/>
      <c r="C238" s="19"/>
      <c r="D238" s="6"/>
      <c r="E238" s="6"/>
      <c r="F238" s="6"/>
      <c r="G238" s="86"/>
      <c r="H238" s="86"/>
      <c r="I238" s="86"/>
      <c r="J238" s="8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28"/>
      <c r="Z238" s="4"/>
      <c r="AA238" s="4"/>
    </row>
    <row r="239" spans="1:27" s="7" customFormat="1" x14ac:dyDescent="0.3">
      <c r="A239" s="86"/>
      <c r="B239" s="19"/>
      <c r="C239" s="19"/>
      <c r="D239" s="6"/>
      <c r="E239" s="6"/>
      <c r="F239" s="6"/>
      <c r="G239" s="86"/>
      <c r="H239" s="86"/>
      <c r="I239" s="86"/>
      <c r="J239" s="8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28"/>
      <c r="Z239" s="4"/>
      <c r="AA239" s="4"/>
    </row>
    <row r="240" spans="1:27" s="7" customFormat="1" x14ac:dyDescent="0.3">
      <c r="A240" s="86"/>
      <c r="B240" s="19"/>
      <c r="C240" s="19"/>
      <c r="D240" s="6"/>
      <c r="E240" s="6"/>
      <c r="F240" s="6"/>
      <c r="G240" s="86"/>
      <c r="H240" s="86"/>
      <c r="I240" s="86"/>
      <c r="J240" s="8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28"/>
      <c r="Z240" s="4"/>
      <c r="AA240" s="4"/>
    </row>
    <row r="241" spans="1:27" s="7" customFormat="1" x14ac:dyDescent="0.3">
      <c r="A241" s="86"/>
      <c r="B241" s="19"/>
      <c r="C241" s="19"/>
      <c r="D241" s="6"/>
      <c r="E241" s="6"/>
      <c r="F241" s="6"/>
      <c r="G241" s="86"/>
      <c r="H241" s="86"/>
      <c r="I241" s="86"/>
      <c r="J241" s="8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28"/>
      <c r="Z241" s="4"/>
      <c r="AA241" s="4"/>
    </row>
    <row r="242" spans="1:27" s="7" customFormat="1" x14ac:dyDescent="0.3">
      <c r="A242" s="86"/>
      <c r="B242" s="19"/>
      <c r="C242" s="19"/>
      <c r="D242" s="6"/>
      <c r="E242" s="6"/>
      <c r="F242" s="6"/>
      <c r="G242" s="86"/>
      <c r="H242" s="86"/>
      <c r="I242" s="86"/>
      <c r="J242" s="8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28"/>
      <c r="Z242" s="4"/>
      <c r="AA242" s="4"/>
    </row>
    <row r="243" spans="1:27" s="7" customFormat="1" x14ac:dyDescent="0.3">
      <c r="A243" s="86"/>
      <c r="B243" s="19"/>
      <c r="C243" s="19"/>
      <c r="D243" s="6"/>
      <c r="E243" s="6"/>
      <c r="F243" s="6"/>
      <c r="G243" s="86"/>
      <c r="H243" s="86"/>
      <c r="I243" s="86"/>
      <c r="J243" s="8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28"/>
      <c r="Z243" s="4"/>
      <c r="AA243" s="4"/>
    </row>
    <row r="244" spans="1:27" s="7" customFormat="1" x14ac:dyDescent="0.3">
      <c r="A244" s="86"/>
      <c r="B244" s="19"/>
      <c r="C244" s="19"/>
      <c r="D244" s="6"/>
      <c r="E244" s="6"/>
      <c r="F244" s="6"/>
      <c r="G244" s="86"/>
      <c r="H244" s="86"/>
      <c r="I244" s="86"/>
      <c r="J244" s="8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28"/>
      <c r="Z244" s="4"/>
      <c r="AA244" s="4"/>
    </row>
    <row r="245" spans="1:27" s="7" customFormat="1" x14ac:dyDescent="0.3">
      <c r="A245" s="86"/>
      <c r="B245" s="19"/>
      <c r="C245" s="19"/>
      <c r="D245" s="6"/>
      <c r="E245" s="6"/>
      <c r="F245" s="6"/>
      <c r="G245" s="86"/>
      <c r="H245" s="86"/>
      <c r="I245" s="86"/>
      <c r="J245" s="8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28"/>
      <c r="Z245" s="4"/>
      <c r="AA245" s="4"/>
    </row>
    <row r="246" spans="1:27" s="7" customFormat="1" x14ac:dyDescent="0.3">
      <c r="A246" s="86"/>
      <c r="B246" s="19"/>
      <c r="C246" s="19"/>
      <c r="D246" s="6"/>
      <c r="E246" s="6"/>
      <c r="F246" s="6"/>
      <c r="G246" s="86"/>
      <c r="H246" s="86"/>
      <c r="I246" s="86"/>
      <c r="J246" s="8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28"/>
      <c r="Z246" s="4"/>
      <c r="AA246" s="4"/>
    </row>
    <row r="247" spans="1:27" s="7" customFormat="1" x14ac:dyDescent="0.3">
      <c r="A247" s="86"/>
      <c r="B247" s="19"/>
      <c r="C247" s="19"/>
      <c r="D247" s="6"/>
      <c r="E247" s="6"/>
      <c r="F247" s="6"/>
      <c r="G247" s="86"/>
      <c r="H247" s="86"/>
      <c r="I247" s="86"/>
      <c r="J247" s="8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28"/>
      <c r="Z247" s="4"/>
      <c r="AA247" s="4"/>
    </row>
    <row r="248" spans="1:27" s="7" customFormat="1" x14ac:dyDescent="0.3">
      <c r="A248" s="86"/>
      <c r="B248" s="19"/>
      <c r="C248" s="19"/>
      <c r="D248" s="6"/>
      <c r="E248" s="6"/>
      <c r="F248" s="6"/>
      <c r="G248" s="86"/>
      <c r="H248" s="86"/>
      <c r="I248" s="86"/>
      <c r="J248" s="8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28"/>
      <c r="Z248" s="4"/>
      <c r="AA248" s="4"/>
    </row>
    <row r="249" spans="1:27" s="7" customFormat="1" x14ac:dyDescent="0.3">
      <c r="A249" s="86"/>
      <c r="B249" s="19"/>
      <c r="C249" s="19"/>
      <c r="D249" s="6"/>
      <c r="E249" s="6"/>
      <c r="F249" s="6"/>
      <c r="G249" s="86"/>
      <c r="H249" s="86"/>
      <c r="I249" s="86"/>
      <c r="J249" s="8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28"/>
      <c r="Z249" s="4"/>
      <c r="AA249" s="4"/>
    </row>
    <row r="250" spans="1:27" s="7" customFormat="1" x14ac:dyDescent="0.3">
      <c r="A250" s="86"/>
      <c r="B250" s="19"/>
      <c r="C250" s="19"/>
      <c r="D250" s="6"/>
      <c r="E250" s="6"/>
      <c r="F250" s="6"/>
      <c r="G250" s="86"/>
      <c r="H250" s="86"/>
      <c r="I250" s="86"/>
      <c r="J250" s="8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28"/>
      <c r="Z250" s="4"/>
      <c r="AA250" s="4"/>
    </row>
    <row r="251" spans="1:27" s="7" customFormat="1" x14ac:dyDescent="0.3">
      <c r="A251" s="86"/>
      <c r="B251" s="19"/>
      <c r="C251" s="19"/>
      <c r="D251" s="6"/>
      <c r="E251" s="6"/>
      <c r="F251" s="6"/>
      <c r="G251" s="86"/>
      <c r="H251" s="86"/>
      <c r="I251" s="86"/>
      <c r="J251" s="8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28"/>
      <c r="Z251" s="4"/>
      <c r="AA251" s="4"/>
    </row>
    <row r="252" spans="1:27" s="7" customFormat="1" x14ac:dyDescent="0.3">
      <c r="A252" s="86"/>
      <c r="B252" s="19"/>
      <c r="C252" s="19"/>
      <c r="D252" s="6"/>
      <c r="E252" s="6"/>
      <c r="F252" s="6"/>
      <c r="G252" s="86"/>
      <c r="H252" s="86"/>
      <c r="I252" s="86"/>
      <c r="J252" s="8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28"/>
      <c r="Z252" s="4"/>
      <c r="AA252" s="4"/>
    </row>
    <row r="253" spans="1:27" s="7" customFormat="1" x14ac:dyDescent="0.3">
      <c r="A253" s="86"/>
      <c r="B253" s="19"/>
      <c r="C253" s="19"/>
      <c r="D253" s="6"/>
      <c r="E253" s="6"/>
      <c r="F253" s="6"/>
      <c r="G253" s="86"/>
      <c r="H253" s="86"/>
      <c r="I253" s="86"/>
      <c r="J253" s="8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28"/>
      <c r="Z253" s="4"/>
      <c r="AA253" s="4"/>
    </row>
    <row r="254" spans="1:27" s="7" customFormat="1" x14ac:dyDescent="0.3">
      <c r="A254" s="86"/>
      <c r="B254" s="19"/>
      <c r="C254" s="19"/>
      <c r="D254" s="6"/>
      <c r="E254" s="6"/>
      <c r="F254" s="6"/>
      <c r="G254" s="86"/>
      <c r="H254" s="86"/>
      <c r="I254" s="86"/>
      <c r="J254" s="8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28"/>
      <c r="Z254" s="4"/>
      <c r="AA254" s="4"/>
    </row>
    <row r="255" spans="1:27" s="7" customFormat="1" x14ac:dyDescent="0.3">
      <c r="A255" s="86"/>
      <c r="B255" s="19"/>
      <c r="C255" s="19"/>
      <c r="D255" s="6"/>
      <c r="E255" s="6"/>
      <c r="F255" s="6"/>
      <c r="G255" s="86"/>
      <c r="H255" s="86"/>
      <c r="I255" s="86"/>
      <c r="J255" s="8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28"/>
      <c r="Z255" s="4"/>
      <c r="AA255" s="4"/>
    </row>
    <row r="256" spans="1:27" s="7" customFormat="1" x14ac:dyDescent="0.3">
      <c r="A256" s="86"/>
      <c r="B256" s="19"/>
      <c r="C256" s="19"/>
      <c r="D256" s="6"/>
      <c r="E256" s="6"/>
      <c r="F256" s="6"/>
      <c r="G256" s="86"/>
      <c r="H256" s="86"/>
      <c r="I256" s="86"/>
      <c r="J256" s="8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28"/>
      <c r="Z256" s="4"/>
      <c r="AA256" s="4"/>
    </row>
    <row r="257" spans="1:27" s="7" customFormat="1" x14ac:dyDescent="0.3">
      <c r="A257" s="86"/>
      <c r="B257" s="19"/>
      <c r="C257" s="19"/>
      <c r="D257" s="6"/>
      <c r="E257" s="6"/>
      <c r="F257" s="6"/>
      <c r="G257" s="86"/>
      <c r="H257" s="86"/>
      <c r="I257" s="86"/>
      <c r="J257" s="8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28"/>
      <c r="Z257" s="4"/>
      <c r="AA257" s="4"/>
    </row>
    <row r="258" spans="1:27" s="7" customFormat="1" x14ac:dyDescent="0.3">
      <c r="A258" s="86"/>
      <c r="B258" s="19"/>
      <c r="C258" s="19"/>
      <c r="D258" s="6"/>
      <c r="E258" s="6"/>
      <c r="F258" s="6"/>
      <c r="G258" s="86"/>
      <c r="H258" s="86"/>
      <c r="I258" s="86"/>
      <c r="J258" s="8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28"/>
      <c r="Z258" s="4"/>
      <c r="AA258" s="4"/>
    </row>
    <row r="259" spans="1:27" s="7" customFormat="1" x14ac:dyDescent="0.3">
      <c r="A259" s="86"/>
      <c r="B259" s="19"/>
      <c r="C259" s="19"/>
      <c r="D259" s="6"/>
      <c r="E259" s="6"/>
      <c r="F259" s="6"/>
      <c r="G259" s="86"/>
      <c r="H259" s="86"/>
      <c r="I259" s="86"/>
      <c r="J259" s="8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28"/>
      <c r="Z259" s="4"/>
      <c r="AA259" s="4"/>
    </row>
    <row r="260" spans="1:27" s="7" customFormat="1" x14ac:dyDescent="0.3">
      <c r="A260" s="86"/>
      <c r="B260" s="19"/>
      <c r="C260" s="19"/>
      <c r="D260" s="6"/>
      <c r="E260" s="6"/>
      <c r="F260" s="6"/>
      <c r="G260" s="86"/>
      <c r="H260" s="86"/>
      <c r="I260" s="86"/>
      <c r="J260" s="8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28"/>
      <c r="Z260" s="4"/>
      <c r="AA260" s="4"/>
    </row>
    <row r="261" spans="1:27" s="7" customFormat="1" x14ac:dyDescent="0.3">
      <c r="A261" s="86"/>
      <c r="B261" s="19"/>
      <c r="C261" s="19"/>
      <c r="D261" s="6"/>
      <c r="E261" s="6"/>
      <c r="F261" s="6"/>
      <c r="G261" s="86"/>
      <c r="H261" s="86"/>
      <c r="I261" s="86"/>
      <c r="J261" s="8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28"/>
      <c r="Z261" s="4"/>
      <c r="AA261" s="4"/>
    </row>
    <row r="262" spans="1:27" s="7" customFormat="1" x14ac:dyDescent="0.3">
      <c r="A262" s="86"/>
      <c r="B262" s="19"/>
      <c r="C262" s="19"/>
      <c r="D262" s="6"/>
      <c r="E262" s="6"/>
      <c r="F262" s="6"/>
      <c r="G262" s="86"/>
      <c r="H262" s="86"/>
      <c r="I262" s="86"/>
      <c r="J262" s="8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28"/>
      <c r="Z262" s="4"/>
      <c r="AA262" s="4"/>
    </row>
    <row r="263" spans="1:27" s="7" customFormat="1" x14ac:dyDescent="0.3">
      <c r="A263" s="86"/>
      <c r="B263" s="19"/>
      <c r="C263" s="19"/>
      <c r="D263" s="6"/>
      <c r="E263" s="6"/>
      <c r="F263" s="6"/>
      <c r="G263" s="86"/>
      <c r="H263" s="86"/>
      <c r="I263" s="86"/>
      <c r="J263" s="8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28"/>
      <c r="Z263" s="4"/>
      <c r="AA263" s="4"/>
    </row>
    <row r="264" spans="1:27" s="7" customFormat="1" x14ac:dyDescent="0.3">
      <c r="A264" s="86"/>
      <c r="B264" s="19"/>
      <c r="C264" s="19"/>
      <c r="D264" s="6"/>
      <c r="E264" s="6"/>
      <c r="F264" s="6"/>
      <c r="G264" s="86"/>
      <c r="H264" s="86"/>
      <c r="I264" s="86"/>
      <c r="J264" s="8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28"/>
      <c r="Z264" s="4"/>
      <c r="AA264" s="4"/>
    </row>
    <row r="265" spans="1:27" s="7" customFormat="1" x14ac:dyDescent="0.3">
      <c r="A265" s="86"/>
      <c r="B265" s="19"/>
      <c r="C265" s="19"/>
      <c r="D265" s="6"/>
      <c r="E265" s="6"/>
      <c r="F265" s="6"/>
      <c r="G265" s="86"/>
      <c r="H265" s="86"/>
      <c r="I265" s="86"/>
      <c r="J265" s="8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28"/>
      <c r="Z265" s="4"/>
      <c r="AA265" s="4"/>
    </row>
    <row r="266" spans="1:27" s="7" customFormat="1" x14ac:dyDescent="0.3">
      <c r="A266" s="86"/>
      <c r="B266" s="19"/>
      <c r="C266" s="19"/>
      <c r="D266" s="6"/>
      <c r="E266" s="6"/>
      <c r="F266" s="6"/>
      <c r="G266" s="86"/>
      <c r="H266" s="86"/>
      <c r="I266" s="86"/>
      <c r="J266" s="8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28"/>
      <c r="Z266" s="4"/>
      <c r="AA266" s="4"/>
    </row>
    <row r="267" spans="1:27" s="7" customFormat="1" x14ac:dyDescent="0.3">
      <c r="A267" s="86"/>
      <c r="B267" s="19"/>
      <c r="C267" s="19"/>
      <c r="D267" s="6"/>
      <c r="E267" s="6"/>
      <c r="F267" s="6"/>
      <c r="G267" s="86"/>
      <c r="H267" s="86"/>
      <c r="I267" s="86"/>
      <c r="J267" s="8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28"/>
      <c r="Z267" s="4"/>
      <c r="AA267" s="4"/>
    </row>
    <row r="268" spans="1:27" s="7" customFormat="1" x14ac:dyDescent="0.3">
      <c r="A268" s="86"/>
      <c r="B268" s="19"/>
      <c r="C268" s="19"/>
      <c r="D268" s="6"/>
      <c r="E268" s="6"/>
      <c r="F268" s="6"/>
      <c r="G268" s="86"/>
      <c r="H268" s="86"/>
      <c r="I268" s="86"/>
      <c r="J268" s="8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28"/>
      <c r="Z268" s="4"/>
      <c r="AA268" s="4"/>
    </row>
    <row r="269" spans="1:27" s="7" customFormat="1" x14ac:dyDescent="0.3">
      <c r="A269" s="86"/>
      <c r="B269" s="19"/>
      <c r="C269" s="19"/>
      <c r="D269" s="6"/>
      <c r="E269" s="6"/>
      <c r="F269" s="6"/>
      <c r="G269" s="86"/>
      <c r="H269" s="86"/>
      <c r="I269" s="86"/>
      <c r="J269" s="8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28"/>
      <c r="Z269" s="4"/>
      <c r="AA269" s="4"/>
    </row>
    <row r="270" spans="1:27" s="7" customFormat="1" x14ac:dyDescent="0.3">
      <c r="A270" s="86"/>
      <c r="B270" s="19"/>
      <c r="C270" s="19"/>
      <c r="D270" s="6"/>
      <c r="E270" s="6"/>
      <c r="F270" s="6"/>
      <c r="G270" s="86"/>
      <c r="H270" s="86"/>
      <c r="I270" s="86"/>
      <c r="J270" s="8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28"/>
      <c r="Z270" s="4"/>
      <c r="AA270" s="4"/>
    </row>
    <row r="271" spans="1:27" s="7" customFormat="1" x14ac:dyDescent="0.3">
      <c r="A271" s="86"/>
      <c r="B271" s="19"/>
      <c r="C271" s="19"/>
      <c r="D271" s="6"/>
      <c r="E271" s="6"/>
      <c r="F271" s="6"/>
      <c r="G271" s="86"/>
      <c r="H271" s="86"/>
      <c r="I271" s="86"/>
      <c r="J271" s="8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28"/>
      <c r="Z271" s="4"/>
      <c r="AA271" s="4"/>
    </row>
    <row r="272" spans="1:27" s="7" customFormat="1" x14ac:dyDescent="0.3">
      <c r="A272" s="86"/>
      <c r="B272" s="19"/>
      <c r="C272" s="19"/>
      <c r="D272" s="6"/>
      <c r="E272" s="6"/>
      <c r="F272" s="6"/>
      <c r="G272" s="86"/>
      <c r="H272" s="86"/>
      <c r="I272" s="86"/>
      <c r="J272" s="8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28"/>
      <c r="Z272" s="4"/>
      <c r="AA272" s="4"/>
    </row>
    <row r="273" spans="1:27" s="7" customFormat="1" x14ac:dyDescent="0.3">
      <c r="A273" s="86"/>
      <c r="B273" s="19"/>
      <c r="C273" s="19"/>
      <c r="D273" s="6"/>
      <c r="E273" s="6"/>
      <c r="F273" s="6"/>
      <c r="G273" s="86"/>
      <c r="H273" s="86"/>
      <c r="I273" s="86"/>
      <c r="J273" s="8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28"/>
      <c r="Z273" s="4"/>
      <c r="AA273" s="4"/>
    </row>
    <row r="274" spans="1:27" s="7" customFormat="1" x14ac:dyDescent="0.3">
      <c r="A274" s="86"/>
      <c r="B274" s="19"/>
      <c r="C274" s="19"/>
      <c r="D274" s="6"/>
      <c r="E274" s="6"/>
      <c r="F274" s="6"/>
      <c r="G274" s="86"/>
      <c r="H274" s="86"/>
      <c r="I274" s="86"/>
      <c r="J274" s="8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28"/>
      <c r="Z274" s="4"/>
      <c r="AA274" s="4"/>
    </row>
    <row r="275" spans="1:27" s="7" customFormat="1" x14ac:dyDescent="0.3">
      <c r="A275" s="86"/>
      <c r="B275" s="19"/>
      <c r="C275" s="19"/>
      <c r="D275" s="6"/>
      <c r="E275" s="6"/>
      <c r="F275" s="6"/>
      <c r="G275" s="86"/>
      <c r="H275" s="86"/>
      <c r="I275" s="86"/>
      <c r="J275" s="8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28"/>
      <c r="Z275" s="4"/>
      <c r="AA275" s="4"/>
    </row>
    <row r="276" spans="1:27" s="7" customFormat="1" x14ac:dyDescent="0.3">
      <c r="A276" s="86"/>
      <c r="B276" s="19"/>
      <c r="C276" s="19"/>
      <c r="D276" s="6"/>
      <c r="E276" s="6"/>
      <c r="F276" s="6"/>
      <c r="G276" s="86"/>
      <c r="H276" s="86"/>
      <c r="I276" s="86"/>
      <c r="J276" s="8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28"/>
      <c r="Z276" s="4"/>
      <c r="AA276" s="4"/>
    </row>
    <row r="277" spans="1:27" s="7" customFormat="1" x14ac:dyDescent="0.3">
      <c r="A277" s="86"/>
      <c r="B277" s="19"/>
      <c r="C277" s="19"/>
      <c r="D277" s="6"/>
      <c r="E277" s="6"/>
      <c r="F277" s="6"/>
      <c r="G277" s="86"/>
      <c r="H277" s="86"/>
      <c r="I277" s="86"/>
      <c r="J277" s="8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28"/>
      <c r="Z277" s="4"/>
      <c r="AA277" s="4"/>
    </row>
    <row r="278" spans="1:27" s="7" customFormat="1" x14ac:dyDescent="0.3">
      <c r="A278" s="86"/>
      <c r="B278" s="19"/>
      <c r="C278" s="19"/>
      <c r="D278" s="6"/>
      <c r="E278" s="6"/>
      <c r="F278" s="6"/>
      <c r="G278" s="86"/>
      <c r="H278" s="86"/>
      <c r="I278" s="86"/>
      <c r="J278" s="8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28"/>
      <c r="Z278" s="4"/>
      <c r="AA278" s="4"/>
    </row>
    <row r="279" spans="1:27" s="7" customFormat="1" x14ac:dyDescent="0.3">
      <c r="A279" s="86"/>
      <c r="B279" s="19"/>
      <c r="C279" s="19"/>
      <c r="D279" s="6"/>
      <c r="E279" s="6"/>
      <c r="F279" s="6"/>
      <c r="G279" s="86"/>
      <c r="H279" s="86"/>
      <c r="I279" s="86"/>
      <c r="J279" s="8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28"/>
      <c r="Z279" s="4"/>
      <c r="AA279" s="4"/>
    </row>
    <row r="280" spans="1:27" s="7" customFormat="1" x14ac:dyDescent="0.3">
      <c r="A280" s="86"/>
      <c r="B280" s="19"/>
      <c r="C280" s="19"/>
      <c r="D280" s="6"/>
      <c r="E280" s="6"/>
      <c r="F280" s="6"/>
      <c r="G280" s="86"/>
      <c r="H280" s="86"/>
      <c r="I280" s="86"/>
      <c r="J280" s="8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28"/>
      <c r="Z280" s="4"/>
      <c r="AA280" s="4"/>
    </row>
    <row r="281" spans="1:27" s="7" customFormat="1" x14ac:dyDescent="0.3">
      <c r="A281" s="86"/>
      <c r="B281" s="19"/>
      <c r="C281" s="19"/>
      <c r="D281" s="6"/>
      <c r="E281" s="6"/>
      <c r="F281" s="6"/>
      <c r="G281" s="86"/>
      <c r="H281" s="86"/>
      <c r="I281" s="86"/>
      <c r="J281" s="8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28"/>
      <c r="Z281" s="4"/>
      <c r="AA281" s="4"/>
    </row>
    <row r="282" spans="1:27" s="7" customFormat="1" x14ac:dyDescent="0.3">
      <c r="A282" s="86"/>
      <c r="B282" s="19"/>
      <c r="C282" s="19"/>
      <c r="D282" s="6"/>
      <c r="E282" s="6"/>
      <c r="F282" s="6"/>
      <c r="G282" s="86"/>
      <c r="H282" s="86"/>
      <c r="I282" s="86"/>
      <c r="J282" s="8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28"/>
      <c r="Z282" s="4"/>
      <c r="AA282" s="4"/>
    </row>
    <row r="283" spans="1:27" s="7" customFormat="1" x14ac:dyDescent="0.3">
      <c r="A283" s="86"/>
      <c r="B283" s="19"/>
      <c r="C283" s="19"/>
      <c r="D283" s="6"/>
      <c r="E283" s="6"/>
      <c r="F283" s="6"/>
      <c r="G283" s="86"/>
      <c r="H283" s="86"/>
      <c r="I283" s="86"/>
      <c r="J283" s="8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28"/>
      <c r="Z283" s="4"/>
      <c r="AA283" s="4"/>
    </row>
    <row r="284" spans="1:27" s="7" customFormat="1" x14ac:dyDescent="0.3">
      <c r="A284" s="86"/>
      <c r="B284" s="19"/>
      <c r="C284" s="19"/>
      <c r="D284" s="6"/>
      <c r="E284" s="6"/>
      <c r="F284" s="6"/>
      <c r="G284" s="86"/>
      <c r="H284" s="86"/>
      <c r="I284" s="86"/>
      <c r="J284" s="8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28"/>
      <c r="Z284" s="4"/>
      <c r="AA284" s="4"/>
    </row>
    <row r="285" spans="1:27" s="7" customFormat="1" x14ac:dyDescent="0.3">
      <c r="A285" s="86"/>
      <c r="B285" s="19"/>
      <c r="C285" s="19"/>
      <c r="D285" s="6"/>
      <c r="E285" s="6"/>
      <c r="F285" s="6"/>
      <c r="G285" s="86"/>
      <c r="H285" s="86"/>
      <c r="I285" s="86"/>
      <c r="J285" s="8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28"/>
      <c r="Z285" s="4"/>
      <c r="AA285" s="4"/>
    </row>
    <row r="286" spans="1:27" s="7" customFormat="1" x14ac:dyDescent="0.3">
      <c r="A286" s="86"/>
      <c r="B286" s="19"/>
      <c r="C286" s="19"/>
      <c r="D286" s="6"/>
      <c r="E286" s="6"/>
      <c r="F286" s="6"/>
      <c r="G286" s="86"/>
      <c r="H286" s="86"/>
      <c r="I286" s="86"/>
      <c r="J286" s="8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28"/>
      <c r="Z286" s="4"/>
      <c r="AA286" s="4"/>
    </row>
    <row r="287" spans="1:27" s="7" customFormat="1" x14ac:dyDescent="0.3">
      <c r="A287" s="86"/>
      <c r="B287" s="19"/>
      <c r="C287" s="19"/>
      <c r="D287" s="6"/>
      <c r="E287" s="6"/>
      <c r="F287" s="6"/>
      <c r="G287" s="86"/>
      <c r="H287" s="86"/>
      <c r="I287" s="86"/>
      <c r="J287" s="8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28"/>
      <c r="Z287" s="4"/>
      <c r="AA287" s="4"/>
    </row>
    <row r="288" spans="1:27" s="7" customFormat="1" x14ac:dyDescent="0.3">
      <c r="A288" s="86"/>
      <c r="B288" s="19"/>
      <c r="C288" s="19"/>
      <c r="D288" s="6"/>
      <c r="E288" s="6"/>
      <c r="F288" s="6"/>
      <c r="G288" s="86"/>
      <c r="H288" s="86"/>
      <c r="I288" s="86"/>
      <c r="J288" s="8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28"/>
      <c r="Z288" s="4"/>
      <c r="AA288" s="4"/>
    </row>
    <row r="289" spans="1:27" s="7" customFormat="1" x14ac:dyDescent="0.3">
      <c r="A289" s="86"/>
      <c r="B289" s="19"/>
      <c r="C289" s="19"/>
      <c r="D289" s="6"/>
      <c r="E289" s="6"/>
      <c r="F289" s="6"/>
      <c r="G289" s="86"/>
      <c r="H289" s="86"/>
      <c r="I289" s="86"/>
      <c r="J289" s="8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28"/>
      <c r="Z289" s="4"/>
      <c r="AA289" s="4"/>
    </row>
    <row r="290" spans="1:27" s="7" customFormat="1" x14ac:dyDescent="0.3">
      <c r="A290" s="86"/>
      <c r="B290" s="19"/>
      <c r="C290" s="19"/>
      <c r="D290" s="6"/>
      <c r="E290" s="6"/>
      <c r="F290" s="6"/>
      <c r="G290" s="86"/>
      <c r="H290" s="86"/>
      <c r="I290" s="86"/>
      <c r="J290" s="8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28"/>
      <c r="Z290" s="4"/>
      <c r="AA290" s="4"/>
    </row>
    <row r="291" spans="1:27" s="7" customFormat="1" x14ac:dyDescent="0.3">
      <c r="A291" s="86"/>
      <c r="B291" s="19"/>
      <c r="C291" s="19"/>
      <c r="D291" s="6"/>
      <c r="E291" s="6"/>
      <c r="F291" s="6"/>
      <c r="G291" s="86"/>
      <c r="H291" s="86"/>
      <c r="I291" s="86"/>
      <c r="J291" s="8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28"/>
      <c r="Z291" s="4"/>
      <c r="AA291" s="4"/>
    </row>
    <row r="292" spans="1:27" s="7" customFormat="1" x14ac:dyDescent="0.3">
      <c r="A292" s="86"/>
      <c r="B292" s="19"/>
      <c r="C292" s="19"/>
      <c r="D292" s="6"/>
      <c r="E292" s="6"/>
      <c r="F292" s="6"/>
      <c r="G292" s="86"/>
      <c r="H292" s="86"/>
      <c r="I292" s="86"/>
      <c r="J292" s="8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28"/>
      <c r="Z292" s="4"/>
      <c r="AA292" s="4"/>
    </row>
    <row r="293" spans="1:27" s="7" customFormat="1" x14ac:dyDescent="0.3">
      <c r="A293" s="86"/>
      <c r="B293" s="19"/>
      <c r="C293" s="19"/>
      <c r="D293" s="6"/>
      <c r="E293" s="6"/>
      <c r="F293" s="6"/>
      <c r="G293" s="86"/>
      <c r="H293" s="86"/>
      <c r="I293" s="86"/>
      <c r="J293" s="8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28"/>
      <c r="Z293" s="4"/>
      <c r="AA293" s="4"/>
    </row>
    <row r="294" spans="1:27" s="7" customFormat="1" x14ac:dyDescent="0.3">
      <c r="A294" s="86"/>
      <c r="B294" s="19"/>
      <c r="C294" s="19"/>
      <c r="D294" s="6"/>
      <c r="E294" s="6"/>
      <c r="F294" s="6"/>
      <c r="G294" s="86"/>
      <c r="H294" s="86"/>
      <c r="I294" s="86"/>
      <c r="J294" s="8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28"/>
      <c r="Z294" s="4"/>
      <c r="AA294" s="4"/>
    </row>
    <row r="295" spans="1:27" s="7" customFormat="1" x14ac:dyDescent="0.3">
      <c r="A295" s="86"/>
      <c r="B295" s="19"/>
      <c r="C295" s="19"/>
      <c r="D295" s="6"/>
      <c r="E295" s="6"/>
      <c r="F295" s="6"/>
      <c r="G295" s="86"/>
      <c r="H295" s="86"/>
      <c r="I295" s="86"/>
      <c r="J295" s="8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28"/>
      <c r="Z295" s="4"/>
      <c r="AA295" s="4"/>
    </row>
    <row r="296" spans="1:27" s="7" customFormat="1" x14ac:dyDescent="0.3">
      <c r="A296" s="86"/>
      <c r="B296" s="19"/>
      <c r="C296" s="19"/>
      <c r="D296" s="6"/>
      <c r="E296" s="6"/>
      <c r="F296" s="6"/>
      <c r="G296" s="86"/>
      <c r="H296" s="86"/>
      <c r="I296" s="86"/>
      <c r="J296" s="8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28"/>
      <c r="Z296" s="4"/>
      <c r="AA296" s="4"/>
    </row>
    <row r="297" spans="1:27" s="7" customFormat="1" x14ac:dyDescent="0.3">
      <c r="A297" s="86"/>
      <c r="B297" s="19"/>
      <c r="C297" s="19"/>
      <c r="D297" s="6"/>
      <c r="E297" s="6"/>
      <c r="F297" s="6"/>
      <c r="G297" s="86"/>
      <c r="H297" s="86"/>
      <c r="I297" s="86"/>
      <c r="J297" s="8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28"/>
      <c r="Z297" s="4"/>
      <c r="AA297" s="4"/>
    </row>
    <row r="298" spans="1:27" s="7" customFormat="1" x14ac:dyDescent="0.3">
      <c r="A298" s="86"/>
      <c r="B298" s="19"/>
      <c r="C298" s="19"/>
      <c r="D298" s="6"/>
      <c r="E298" s="6"/>
      <c r="F298" s="6"/>
      <c r="G298" s="86"/>
      <c r="H298" s="86"/>
      <c r="I298" s="86"/>
      <c r="J298" s="8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28"/>
      <c r="Z298" s="4"/>
      <c r="AA298" s="4"/>
    </row>
    <row r="299" spans="1:27" s="7" customFormat="1" x14ac:dyDescent="0.3">
      <c r="A299" s="86"/>
      <c r="B299" s="19"/>
      <c r="C299" s="19"/>
      <c r="D299" s="6"/>
      <c r="E299" s="6"/>
      <c r="F299" s="6"/>
      <c r="G299" s="86"/>
      <c r="H299" s="86"/>
      <c r="I299" s="86"/>
      <c r="J299" s="8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28"/>
      <c r="Z299" s="4"/>
      <c r="AA299" s="4"/>
    </row>
    <row r="300" spans="1:27" s="7" customFormat="1" x14ac:dyDescent="0.3">
      <c r="A300" s="86"/>
      <c r="B300" s="19"/>
      <c r="C300" s="19"/>
      <c r="D300" s="6"/>
      <c r="E300" s="6"/>
      <c r="F300" s="6"/>
      <c r="G300" s="86"/>
      <c r="H300" s="86"/>
      <c r="I300" s="86"/>
      <c r="J300" s="8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28"/>
      <c r="Z300" s="4"/>
      <c r="AA300" s="4"/>
    </row>
    <row r="301" spans="1:27" s="7" customFormat="1" x14ac:dyDescent="0.3">
      <c r="A301" s="86"/>
      <c r="B301" s="19"/>
      <c r="C301" s="19"/>
      <c r="D301" s="6"/>
      <c r="E301" s="6"/>
      <c r="F301" s="6"/>
      <c r="G301" s="86"/>
      <c r="H301" s="86"/>
      <c r="I301" s="86"/>
      <c r="J301" s="8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28"/>
      <c r="Z301" s="4"/>
      <c r="AA301" s="4"/>
    </row>
    <row r="302" spans="1:27" s="7" customFormat="1" x14ac:dyDescent="0.3">
      <c r="A302" s="86"/>
      <c r="B302" s="19"/>
      <c r="C302" s="19"/>
      <c r="D302" s="6"/>
      <c r="E302" s="6"/>
      <c r="F302" s="6"/>
      <c r="G302" s="86"/>
      <c r="H302" s="86"/>
      <c r="I302" s="86"/>
      <c r="J302" s="8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28"/>
      <c r="Z302" s="4"/>
      <c r="AA302" s="4"/>
    </row>
    <row r="303" spans="1:27" s="7" customFormat="1" x14ac:dyDescent="0.3">
      <c r="A303" s="86"/>
      <c r="B303" s="19"/>
      <c r="C303" s="19"/>
      <c r="D303" s="6"/>
      <c r="E303" s="6"/>
      <c r="F303" s="6"/>
      <c r="G303" s="86"/>
      <c r="H303" s="86"/>
      <c r="I303" s="86"/>
      <c r="J303" s="8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28"/>
      <c r="Z303" s="4"/>
      <c r="AA303" s="4"/>
    </row>
    <row r="304" spans="1:27" s="7" customFormat="1" x14ac:dyDescent="0.3">
      <c r="A304" s="86"/>
      <c r="B304" s="19"/>
      <c r="C304" s="19"/>
      <c r="D304" s="6"/>
      <c r="E304" s="6"/>
      <c r="F304" s="6"/>
      <c r="G304" s="86"/>
      <c r="H304" s="86"/>
      <c r="I304" s="86"/>
      <c r="J304" s="8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28"/>
      <c r="Z304" s="4"/>
      <c r="AA304" s="4"/>
    </row>
    <row r="305" spans="1:27" s="7" customFormat="1" x14ac:dyDescent="0.3">
      <c r="A305" s="86"/>
      <c r="B305" s="19"/>
      <c r="C305" s="19"/>
      <c r="D305" s="6"/>
      <c r="E305" s="6"/>
      <c r="F305" s="6"/>
      <c r="G305" s="86"/>
      <c r="H305" s="86"/>
      <c r="I305" s="86"/>
      <c r="J305" s="8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28"/>
      <c r="Z305" s="4"/>
      <c r="AA305" s="4"/>
    </row>
    <row r="306" spans="1:27" s="7" customFormat="1" x14ac:dyDescent="0.3">
      <c r="A306" s="86"/>
      <c r="B306" s="19"/>
      <c r="C306" s="19"/>
      <c r="D306" s="6"/>
      <c r="E306" s="6"/>
      <c r="F306" s="6"/>
      <c r="G306" s="86"/>
      <c r="H306" s="86"/>
      <c r="I306" s="86"/>
      <c r="J306" s="8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28"/>
      <c r="Z306" s="4"/>
      <c r="AA306" s="4"/>
    </row>
    <row r="307" spans="1:27" s="7" customFormat="1" x14ac:dyDescent="0.3">
      <c r="A307" s="86"/>
      <c r="B307" s="19"/>
      <c r="C307" s="19"/>
      <c r="D307" s="6"/>
      <c r="E307" s="6"/>
      <c r="F307" s="6"/>
      <c r="G307" s="86"/>
      <c r="H307" s="86"/>
      <c r="I307" s="86"/>
      <c r="J307" s="8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28"/>
      <c r="Z307" s="4"/>
      <c r="AA307" s="4"/>
    </row>
    <row r="308" spans="1:27" s="7" customFormat="1" x14ac:dyDescent="0.3">
      <c r="A308" s="86"/>
      <c r="B308" s="19"/>
      <c r="C308" s="19"/>
      <c r="D308" s="6"/>
      <c r="E308" s="6"/>
      <c r="F308" s="6"/>
      <c r="G308" s="86"/>
      <c r="H308" s="86"/>
      <c r="I308" s="86"/>
      <c r="J308" s="8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28"/>
      <c r="Z308" s="4"/>
      <c r="AA308" s="4"/>
    </row>
    <row r="309" spans="1:27" s="7" customFormat="1" x14ac:dyDescent="0.3">
      <c r="A309" s="86"/>
      <c r="B309" s="19"/>
      <c r="C309" s="19"/>
      <c r="D309" s="6"/>
      <c r="E309" s="6"/>
      <c r="F309" s="6"/>
      <c r="G309" s="86"/>
      <c r="H309" s="86"/>
      <c r="I309" s="86"/>
      <c r="J309" s="8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28"/>
      <c r="Z309" s="4"/>
      <c r="AA309" s="4"/>
    </row>
    <row r="310" spans="1:27" s="7" customFormat="1" x14ac:dyDescent="0.3">
      <c r="A310" s="86"/>
      <c r="B310" s="19"/>
      <c r="C310" s="19"/>
      <c r="D310" s="6"/>
      <c r="E310" s="6"/>
      <c r="F310" s="6"/>
      <c r="G310" s="86"/>
      <c r="H310" s="86"/>
      <c r="I310" s="86"/>
      <c r="J310" s="8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28"/>
      <c r="Z310" s="4"/>
      <c r="AA310" s="4"/>
    </row>
    <row r="311" spans="1:27" s="7" customFormat="1" x14ac:dyDescent="0.3">
      <c r="A311" s="86"/>
      <c r="B311" s="19"/>
      <c r="C311" s="19"/>
      <c r="D311" s="6"/>
      <c r="E311" s="6"/>
      <c r="F311" s="6"/>
      <c r="G311" s="86"/>
      <c r="H311" s="86"/>
      <c r="I311" s="86"/>
      <c r="J311" s="8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28"/>
      <c r="Z311" s="4"/>
      <c r="AA311" s="4"/>
    </row>
    <row r="312" spans="1:27" s="7" customFormat="1" x14ac:dyDescent="0.3">
      <c r="A312" s="86"/>
      <c r="B312" s="19"/>
      <c r="C312" s="19"/>
      <c r="D312" s="6"/>
      <c r="E312" s="6"/>
      <c r="F312" s="6"/>
      <c r="G312" s="86"/>
      <c r="H312" s="86"/>
      <c r="I312" s="86"/>
      <c r="J312" s="8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28"/>
      <c r="Z312" s="4"/>
      <c r="AA312" s="4"/>
    </row>
    <row r="313" spans="1:27" s="7" customFormat="1" x14ac:dyDescent="0.3">
      <c r="A313" s="86"/>
      <c r="B313" s="19"/>
      <c r="C313" s="19"/>
      <c r="D313" s="6"/>
      <c r="E313" s="6"/>
      <c r="F313" s="6"/>
      <c r="G313" s="86"/>
      <c r="H313" s="86"/>
      <c r="I313" s="86"/>
      <c r="J313" s="8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28"/>
      <c r="Z313" s="4"/>
      <c r="AA313" s="4"/>
    </row>
    <row r="314" spans="1:27" x14ac:dyDescent="0.3">
      <c r="A314" s="86"/>
      <c r="B314" s="19"/>
      <c r="C314" s="19"/>
      <c r="D314" s="6"/>
      <c r="E314" s="6"/>
      <c r="F314" s="6"/>
      <c r="G314" s="86"/>
      <c r="H314" s="86"/>
      <c r="I314" s="86"/>
      <c r="J314" s="8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28"/>
    </row>
    <row r="315" spans="1:27" x14ac:dyDescent="0.3">
      <c r="A315" s="86"/>
      <c r="B315" s="19"/>
      <c r="C315" s="19"/>
      <c r="D315" s="6"/>
      <c r="E315" s="6"/>
      <c r="F315" s="6"/>
      <c r="G315" s="86"/>
      <c r="H315" s="86"/>
      <c r="I315" s="86"/>
      <c r="J315" s="8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28"/>
    </row>
    <row r="316" spans="1:27" x14ac:dyDescent="0.3">
      <c r="A316" s="86"/>
      <c r="B316" s="19"/>
      <c r="C316" s="19"/>
      <c r="D316" s="6"/>
      <c r="E316" s="6"/>
      <c r="F316" s="6"/>
      <c r="G316" s="86"/>
      <c r="H316" s="86"/>
      <c r="I316" s="86"/>
      <c r="J316" s="8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28"/>
    </row>
    <row r="317" spans="1:27" x14ac:dyDescent="0.3">
      <c r="A317" s="86"/>
      <c r="B317" s="19"/>
      <c r="C317" s="19"/>
      <c r="D317" s="6"/>
      <c r="E317" s="6"/>
      <c r="F317" s="6"/>
      <c r="G317" s="86"/>
      <c r="H317" s="86"/>
      <c r="I317" s="86"/>
      <c r="J317" s="8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28"/>
    </row>
    <row r="318" spans="1:27" x14ac:dyDescent="0.3">
      <c r="A318" s="86"/>
      <c r="B318" s="19"/>
      <c r="C318" s="19"/>
      <c r="D318" s="6"/>
      <c r="E318" s="6"/>
      <c r="F318" s="6"/>
      <c r="G318" s="86"/>
      <c r="H318" s="86"/>
      <c r="I318" s="86"/>
      <c r="J318" s="8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28"/>
    </row>
    <row r="319" spans="1:27" x14ac:dyDescent="0.3">
      <c r="A319" s="86"/>
      <c r="B319" s="19"/>
      <c r="C319" s="19"/>
      <c r="D319" s="6"/>
      <c r="E319" s="6"/>
      <c r="F319" s="6"/>
      <c r="G319" s="86"/>
      <c r="H319" s="86"/>
      <c r="I319" s="86"/>
      <c r="J319" s="8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28"/>
    </row>
    <row r="320" spans="1:27" x14ac:dyDescent="0.3">
      <c r="A320" s="86"/>
      <c r="B320" s="19"/>
      <c r="C320" s="19"/>
      <c r="D320" s="6"/>
      <c r="E320" s="6"/>
      <c r="F320" s="6"/>
      <c r="G320" s="86"/>
      <c r="H320" s="86"/>
      <c r="I320" s="86"/>
      <c r="J320" s="8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28"/>
    </row>
    <row r="321" spans="1:27" x14ac:dyDescent="0.3">
      <c r="A321" s="86"/>
      <c r="B321" s="19"/>
      <c r="C321" s="19"/>
      <c r="D321" s="6"/>
      <c r="E321" s="6"/>
      <c r="F321" s="6"/>
      <c r="G321" s="86"/>
      <c r="H321" s="86"/>
      <c r="I321" s="86"/>
      <c r="J321" s="8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28"/>
    </row>
    <row r="322" spans="1:27" x14ac:dyDescent="0.3">
      <c r="A322" s="86"/>
      <c r="B322" s="19"/>
      <c r="C322" s="19"/>
      <c r="D322" s="6"/>
      <c r="E322" s="6"/>
      <c r="F322" s="6"/>
      <c r="G322" s="86"/>
      <c r="H322" s="86"/>
      <c r="I322" s="86"/>
      <c r="J322" s="8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28"/>
    </row>
    <row r="323" spans="1:27" x14ac:dyDescent="0.3">
      <c r="A323" s="86"/>
      <c r="B323" s="19"/>
      <c r="C323" s="19"/>
      <c r="D323" s="6"/>
      <c r="E323" s="6"/>
      <c r="F323" s="6"/>
      <c r="G323" s="86"/>
      <c r="H323" s="86"/>
      <c r="I323" s="86"/>
      <c r="J323" s="8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28"/>
    </row>
    <row r="324" spans="1:27" x14ac:dyDescent="0.3">
      <c r="A324" s="86"/>
      <c r="B324" s="19"/>
      <c r="C324" s="19"/>
      <c r="D324" s="6"/>
      <c r="E324" s="6"/>
      <c r="F324" s="6"/>
      <c r="G324" s="86"/>
      <c r="H324" s="86"/>
      <c r="I324" s="86"/>
      <c r="J324" s="8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28"/>
    </row>
    <row r="325" spans="1:27" x14ac:dyDescent="0.3">
      <c r="A325" s="86"/>
      <c r="B325" s="19"/>
      <c r="C325" s="19"/>
      <c r="D325" s="6"/>
      <c r="E325" s="6"/>
      <c r="F325" s="6"/>
      <c r="G325" s="86"/>
      <c r="H325" s="86"/>
      <c r="I325" s="86"/>
      <c r="J325" s="8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28"/>
    </row>
    <row r="326" spans="1:27" x14ac:dyDescent="0.3">
      <c r="A326" s="86"/>
      <c r="B326" s="19"/>
      <c r="C326" s="19"/>
      <c r="D326" s="6"/>
      <c r="E326" s="6"/>
      <c r="F326" s="6"/>
      <c r="G326" s="86"/>
      <c r="H326" s="86"/>
      <c r="I326" s="86"/>
      <c r="J326" s="8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28"/>
    </row>
    <row r="327" spans="1:27" x14ac:dyDescent="0.3">
      <c r="A327" s="86"/>
      <c r="B327" s="19"/>
      <c r="C327" s="19"/>
      <c r="D327" s="6"/>
      <c r="G327" s="86"/>
      <c r="H327" s="86"/>
      <c r="I327" s="86"/>
      <c r="J327" s="8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28"/>
    </row>
    <row r="328" spans="1:27" x14ac:dyDescent="0.3">
      <c r="Z328" s="5"/>
      <c r="AA328" s="5"/>
    </row>
    <row r="329" spans="1:27" x14ac:dyDescent="0.3">
      <c r="Z329" s="5"/>
      <c r="AA329" s="5"/>
    </row>
    <row r="330" spans="1:27" x14ac:dyDescent="0.3">
      <c r="Z330" s="5"/>
      <c r="AA330" s="5"/>
    </row>
    <row r="331" spans="1:27" x14ac:dyDescent="0.3">
      <c r="Z331" s="5"/>
      <c r="AA331" s="5"/>
    </row>
    <row r="332" spans="1:27" x14ac:dyDescent="0.3">
      <c r="Z332" s="5"/>
      <c r="AA332" s="5"/>
    </row>
    <row r="333" spans="1:27" x14ac:dyDescent="0.3">
      <c r="Z333" s="5"/>
      <c r="AA333" s="5"/>
    </row>
    <row r="334" spans="1:27" x14ac:dyDescent="0.3">
      <c r="Z334" s="5"/>
      <c r="AA334" s="5"/>
    </row>
    <row r="335" spans="1:27" x14ac:dyDescent="0.3">
      <c r="Z335" s="5"/>
      <c r="AA335" s="5"/>
    </row>
    <row r="336" spans="1:27" x14ac:dyDescent="0.3">
      <c r="Z336" s="5"/>
      <c r="AA336" s="5"/>
    </row>
    <row r="337" spans="1:27" x14ac:dyDescent="0.3">
      <c r="Z337" s="5"/>
      <c r="AA337" s="5"/>
    </row>
    <row r="338" spans="1:27" x14ac:dyDescent="0.3">
      <c r="Z338" s="5"/>
      <c r="AA338" s="5"/>
    </row>
    <row r="339" spans="1:27" x14ac:dyDescent="0.3">
      <c r="Z339" s="5"/>
      <c r="AA339" s="5"/>
    </row>
    <row r="340" spans="1:27" x14ac:dyDescent="0.3">
      <c r="Z340" s="5"/>
      <c r="AA340" s="5"/>
    </row>
    <row r="341" spans="1:27" x14ac:dyDescent="0.3">
      <c r="Z341" s="5"/>
      <c r="AA341" s="5"/>
    </row>
    <row r="342" spans="1:27" x14ac:dyDescent="0.3">
      <c r="Z342" s="5"/>
      <c r="AA342" s="5"/>
    </row>
    <row r="343" spans="1:27" x14ac:dyDescent="0.3">
      <c r="Z343" s="5"/>
      <c r="AA343" s="5"/>
    </row>
    <row r="344" spans="1:27" x14ac:dyDescent="0.3">
      <c r="Z344" s="5"/>
      <c r="AA344" s="5"/>
    </row>
    <row r="345" spans="1:27" x14ac:dyDescent="0.3">
      <c r="Z345" s="5"/>
      <c r="AA345" s="5"/>
    </row>
    <row r="346" spans="1:27" x14ac:dyDescent="0.3">
      <c r="Z346" s="5"/>
      <c r="AA346" s="5"/>
    </row>
    <row r="347" spans="1:27" x14ac:dyDescent="0.3">
      <c r="Z347" s="5"/>
      <c r="AA347" s="5"/>
    </row>
    <row r="348" spans="1:27" x14ac:dyDescent="0.3">
      <c r="Z348" s="5"/>
      <c r="AA348" s="5"/>
    </row>
    <row r="349" spans="1:27" x14ac:dyDescent="0.3">
      <c r="Z349" s="5"/>
      <c r="AA349" s="5"/>
    </row>
    <row r="350" spans="1:27" x14ac:dyDescent="0.3">
      <c r="Z350" s="5"/>
      <c r="AA350" s="5"/>
    </row>
    <row r="351" spans="1:27" x14ac:dyDescent="0.3">
      <c r="Z351" s="5"/>
      <c r="AA351" s="5"/>
    </row>
    <row r="352" spans="1:27" x14ac:dyDescent="0.3">
      <c r="A352" s="23"/>
      <c r="B352" s="29"/>
      <c r="C352" s="29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5"/>
      <c r="AA352" s="5"/>
    </row>
    <row r="353" spans="1:27" x14ac:dyDescent="0.3">
      <c r="A353" s="23"/>
      <c r="B353" s="29"/>
      <c r="C353" s="29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5"/>
      <c r="AA353" s="5"/>
    </row>
    <row r="354" spans="1:27" x14ac:dyDescent="0.3">
      <c r="A354" s="23"/>
      <c r="B354" s="29"/>
      <c r="C354" s="29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5"/>
      <c r="AA354" s="5"/>
    </row>
    <row r="355" spans="1:27" x14ac:dyDescent="0.3">
      <c r="A355" s="23"/>
      <c r="B355" s="29"/>
      <c r="C355" s="29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5"/>
      <c r="AA355" s="5"/>
    </row>
    <row r="356" spans="1:27" x14ac:dyDescent="0.3">
      <c r="A356" s="23"/>
      <c r="B356" s="29"/>
      <c r="C356" s="29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5"/>
      <c r="AA356" s="5"/>
    </row>
    <row r="357" spans="1:27" x14ac:dyDescent="0.3">
      <c r="A357" s="23"/>
      <c r="B357" s="29"/>
      <c r="C357" s="29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5"/>
      <c r="AA357" s="5"/>
    </row>
    <row r="358" spans="1:27" x14ac:dyDescent="0.3">
      <c r="A358" s="23"/>
      <c r="B358" s="29"/>
      <c r="C358" s="29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5"/>
      <c r="AA358" s="5"/>
    </row>
    <row r="359" spans="1:27" x14ac:dyDescent="0.3">
      <c r="A359" s="23"/>
      <c r="B359" s="29"/>
      <c r="C359" s="29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5"/>
      <c r="AA359" s="5"/>
    </row>
    <row r="360" spans="1:27" x14ac:dyDescent="0.3">
      <c r="A360" s="23"/>
      <c r="B360" s="29"/>
      <c r="C360" s="29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5"/>
      <c r="AA360" s="5"/>
    </row>
    <row r="361" spans="1:27" x14ac:dyDescent="0.3">
      <c r="A361" s="23"/>
      <c r="B361" s="29"/>
      <c r="C361" s="29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5"/>
      <c r="AA361" s="5"/>
    </row>
    <row r="362" spans="1:27" x14ac:dyDescent="0.3">
      <c r="A362" s="23"/>
      <c r="B362" s="29"/>
      <c r="C362" s="29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5"/>
      <c r="AA362" s="5"/>
    </row>
    <row r="363" spans="1:27" x14ac:dyDescent="0.3">
      <c r="A363" s="23"/>
      <c r="B363" s="29"/>
      <c r="C363" s="29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5"/>
      <c r="AA363" s="5"/>
    </row>
    <row r="364" spans="1:27" x14ac:dyDescent="0.3">
      <c r="A364" s="23"/>
      <c r="B364" s="29"/>
      <c r="C364" s="29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5"/>
      <c r="AA364" s="5"/>
    </row>
    <row r="365" spans="1:27" x14ac:dyDescent="0.3">
      <c r="A365" s="23"/>
      <c r="B365" s="29"/>
      <c r="C365" s="29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5"/>
      <c r="AA365" s="5"/>
    </row>
    <row r="366" spans="1:27" x14ac:dyDescent="0.3">
      <c r="A366" s="23"/>
      <c r="B366" s="29"/>
      <c r="C366" s="29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5"/>
      <c r="AA366" s="5"/>
    </row>
    <row r="367" spans="1:27" x14ac:dyDescent="0.3">
      <c r="A367" s="23"/>
      <c r="B367" s="29"/>
      <c r="C367" s="29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5"/>
      <c r="AA367" s="5"/>
    </row>
    <row r="368" spans="1:27" x14ac:dyDescent="0.3">
      <c r="A368" s="23"/>
      <c r="B368" s="29"/>
      <c r="C368" s="29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5"/>
      <c r="AA368" s="5"/>
    </row>
    <row r="369" spans="1:27" x14ac:dyDescent="0.3">
      <c r="A369" s="23"/>
      <c r="B369" s="29"/>
      <c r="C369" s="29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5"/>
      <c r="AA369" s="5"/>
    </row>
    <row r="370" spans="1:27" x14ac:dyDescent="0.3">
      <c r="A370" s="23"/>
      <c r="B370" s="29"/>
      <c r="C370" s="29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5"/>
      <c r="AA370" s="5"/>
    </row>
    <row r="371" spans="1:27" x14ac:dyDescent="0.3">
      <c r="A371" s="23"/>
      <c r="B371" s="29"/>
      <c r="C371" s="29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5"/>
      <c r="AA371" s="5"/>
    </row>
    <row r="372" spans="1:27" x14ac:dyDescent="0.3">
      <c r="A372" s="23"/>
      <c r="B372" s="29"/>
      <c r="C372" s="29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5"/>
      <c r="AA372" s="5"/>
    </row>
    <row r="373" spans="1:27" x14ac:dyDescent="0.3">
      <c r="A373" s="23"/>
      <c r="B373" s="29"/>
      <c r="C373" s="29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5"/>
      <c r="AA373" s="5"/>
    </row>
    <row r="374" spans="1:27" x14ac:dyDescent="0.3">
      <c r="A374" s="23"/>
      <c r="B374" s="29"/>
      <c r="C374" s="29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5"/>
      <c r="AA374" s="5"/>
    </row>
    <row r="375" spans="1:27" x14ac:dyDescent="0.3">
      <c r="A375" s="23"/>
      <c r="B375" s="29"/>
      <c r="C375" s="29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5"/>
      <c r="AA375" s="5"/>
    </row>
    <row r="376" spans="1:27" x14ac:dyDescent="0.3">
      <c r="A376" s="23"/>
      <c r="B376" s="29"/>
      <c r="C376" s="29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5"/>
      <c r="AA376" s="5"/>
    </row>
    <row r="377" spans="1:27" x14ac:dyDescent="0.3">
      <c r="A377" s="23"/>
      <c r="B377" s="29"/>
      <c r="C377" s="29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5"/>
      <c r="AA377" s="5"/>
    </row>
    <row r="378" spans="1:27" x14ac:dyDescent="0.3">
      <c r="A378" s="23"/>
      <c r="B378" s="29"/>
      <c r="C378" s="29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5"/>
      <c r="AA378" s="5"/>
    </row>
    <row r="379" spans="1:27" x14ac:dyDescent="0.3">
      <c r="A379" s="23"/>
      <c r="B379" s="29"/>
      <c r="C379" s="29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5"/>
      <c r="AA379" s="5"/>
    </row>
    <row r="380" spans="1:27" x14ac:dyDescent="0.3">
      <c r="A380" s="23"/>
      <c r="B380" s="29"/>
      <c r="C380" s="29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5"/>
      <c r="AA380" s="5"/>
    </row>
    <row r="381" spans="1:27" x14ac:dyDescent="0.3">
      <c r="A381" s="23"/>
      <c r="B381" s="29"/>
      <c r="C381" s="29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5"/>
      <c r="AA381" s="5"/>
    </row>
    <row r="382" spans="1:27" x14ac:dyDescent="0.3">
      <c r="A382" s="23"/>
      <c r="B382" s="29"/>
      <c r="C382" s="29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5"/>
      <c r="AA382" s="5"/>
    </row>
    <row r="383" spans="1:27" x14ac:dyDescent="0.3">
      <c r="A383" s="23"/>
      <c r="B383" s="29"/>
      <c r="C383" s="29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5"/>
      <c r="AA383" s="5"/>
    </row>
    <row r="384" spans="1:27" x14ac:dyDescent="0.3">
      <c r="A384" s="23"/>
      <c r="B384" s="29"/>
      <c r="C384" s="29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5"/>
      <c r="AA384" s="5"/>
    </row>
    <row r="385" spans="1:27" x14ac:dyDescent="0.3">
      <c r="A385" s="23"/>
      <c r="B385" s="29"/>
      <c r="C385" s="29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5"/>
      <c r="AA385" s="5"/>
    </row>
    <row r="386" spans="1:27" x14ac:dyDescent="0.3">
      <c r="A386" s="23"/>
      <c r="B386" s="29"/>
      <c r="C386" s="29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5"/>
      <c r="AA386" s="5"/>
    </row>
    <row r="387" spans="1:27" x14ac:dyDescent="0.3">
      <c r="A387" s="23"/>
      <c r="B387" s="29"/>
      <c r="C387" s="29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5"/>
      <c r="AA387" s="5"/>
    </row>
    <row r="388" spans="1:27" x14ac:dyDescent="0.3">
      <c r="A388" s="23"/>
      <c r="B388" s="29"/>
      <c r="C388" s="29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5"/>
      <c r="AA388" s="5"/>
    </row>
    <row r="389" spans="1:27" x14ac:dyDescent="0.3">
      <c r="A389" s="23"/>
      <c r="B389" s="29"/>
      <c r="C389" s="29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5"/>
      <c r="AA389" s="5"/>
    </row>
    <row r="390" spans="1:27" x14ac:dyDescent="0.3">
      <c r="A390" s="23"/>
      <c r="B390" s="29"/>
      <c r="C390" s="29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5"/>
      <c r="AA390" s="5"/>
    </row>
    <row r="391" spans="1:27" x14ac:dyDescent="0.3">
      <c r="A391" s="23"/>
      <c r="B391" s="29"/>
      <c r="C391" s="29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5"/>
      <c r="AA391" s="5"/>
    </row>
    <row r="392" spans="1:27" x14ac:dyDescent="0.3">
      <c r="A392" s="23"/>
      <c r="B392" s="29"/>
      <c r="C392" s="29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5"/>
      <c r="AA392" s="5"/>
    </row>
    <row r="393" spans="1:27" x14ac:dyDescent="0.3">
      <c r="A393" s="23"/>
      <c r="B393" s="29"/>
      <c r="C393" s="29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5"/>
      <c r="AA393" s="5"/>
    </row>
    <row r="394" spans="1:27" x14ac:dyDescent="0.3">
      <c r="A394" s="23"/>
      <c r="B394" s="29"/>
      <c r="C394" s="29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5"/>
      <c r="AA394" s="5"/>
    </row>
    <row r="395" spans="1:27" x14ac:dyDescent="0.3">
      <c r="A395" s="23"/>
      <c r="B395" s="29"/>
      <c r="C395" s="29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5"/>
      <c r="AA395" s="5"/>
    </row>
    <row r="396" spans="1:27" x14ac:dyDescent="0.3">
      <c r="A396" s="23"/>
      <c r="B396" s="29"/>
      <c r="C396" s="29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5"/>
      <c r="AA396" s="5"/>
    </row>
    <row r="397" spans="1:27" x14ac:dyDescent="0.3">
      <c r="A397" s="23"/>
      <c r="B397" s="29"/>
      <c r="C397" s="29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5"/>
      <c r="AA397" s="5"/>
    </row>
    <row r="398" spans="1:27" x14ac:dyDescent="0.3">
      <c r="A398" s="23"/>
      <c r="B398" s="29"/>
      <c r="C398" s="29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5"/>
      <c r="AA398" s="5"/>
    </row>
    <row r="399" spans="1:27" x14ac:dyDescent="0.3">
      <c r="A399" s="23"/>
      <c r="B399" s="29"/>
      <c r="C399" s="29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5"/>
      <c r="AA399" s="5"/>
    </row>
    <row r="400" spans="1:27" x14ac:dyDescent="0.3">
      <c r="A400" s="23"/>
      <c r="B400" s="29"/>
      <c r="C400" s="29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5"/>
      <c r="AA400" s="5"/>
    </row>
    <row r="401" spans="1:27" x14ac:dyDescent="0.3">
      <c r="A401" s="23"/>
      <c r="B401" s="29"/>
      <c r="C401" s="29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5"/>
      <c r="AA401" s="5"/>
    </row>
    <row r="402" spans="1:27" x14ac:dyDescent="0.3">
      <c r="A402" s="23"/>
      <c r="B402" s="29"/>
      <c r="C402" s="29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5"/>
      <c r="AA402" s="5"/>
    </row>
    <row r="403" spans="1:27" x14ac:dyDescent="0.3">
      <c r="A403" s="23"/>
      <c r="B403" s="29"/>
      <c r="C403" s="29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5"/>
      <c r="AA403" s="5"/>
    </row>
    <row r="404" spans="1:27" x14ac:dyDescent="0.3">
      <c r="A404" s="23"/>
      <c r="B404" s="29"/>
      <c r="C404" s="29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5"/>
      <c r="AA404" s="5"/>
    </row>
    <row r="405" spans="1:27" x14ac:dyDescent="0.3">
      <c r="A405" s="23"/>
      <c r="B405" s="29"/>
      <c r="C405" s="29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5"/>
      <c r="AA405" s="5"/>
    </row>
    <row r="406" spans="1:27" x14ac:dyDescent="0.3">
      <c r="A406" s="23"/>
      <c r="B406" s="29"/>
      <c r="C406" s="29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5"/>
      <c r="AA406" s="5"/>
    </row>
    <row r="407" spans="1:27" x14ac:dyDescent="0.3">
      <c r="A407" s="23"/>
      <c r="B407" s="29"/>
      <c r="C407" s="29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5"/>
      <c r="AA407" s="5"/>
    </row>
    <row r="408" spans="1:27" x14ac:dyDescent="0.3">
      <c r="A408" s="23"/>
      <c r="B408" s="29"/>
      <c r="C408" s="29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5"/>
      <c r="AA408" s="5"/>
    </row>
    <row r="409" spans="1:27" x14ac:dyDescent="0.3">
      <c r="A409" s="23"/>
      <c r="B409" s="29"/>
      <c r="C409" s="29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5"/>
      <c r="AA409" s="5"/>
    </row>
    <row r="410" spans="1:27" x14ac:dyDescent="0.3">
      <c r="A410" s="23"/>
      <c r="B410" s="29"/>
      <c r="C410" s="29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5"/>
      <c r="AA410" s="5"/>
    </row>
    <row r="411" spans="1:27" x14ac:dyDescent="0.3">
      <c r="A411" s="23"/>
      <c r="B411" s="29"/>
      <c r="C411" s="29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5"/>
      <c r="AA411" s="5"/>
    </row>
    <row r="412" spans="1:27" x14ac:dyDescent="0.3">
      <c r="A412" s="23"/>
      <c r="B412" s="29"/>
      <c r="C412" s="29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5"/>
      <c r="AA412" s="5"/>
    </row>
    <row r="413" spans="1:27" x14ac:dyDescent="0.3">
      <c r="A413" s="23"/>
      <c r="B413" s="29"/>
      <c r="C413" s="29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5"/>
      <c r="AA413" s="5"/>
    </row>
    <row r="414" spans="1:27" x14ac:dyDescent="0.3">
      <c r="A414" s="23"/>
      <c r="B414" s="29"/>
      <c r="C414" s="29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5"/>
      <c r="AA414" s="5"/>
    </row>
    <row r="415" spans="1:27" x14ac:dyDescent="0.3">
      <c r="A415" s="23"/>
      <c r="B415" s="29"/>
      <c r="C415" s="29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5"/>
      <c r="AA415" s="5"/>
    </row>
    <row r="416" spans="1:27" x14ac:dyDescent="0.3">
      <c r="A416" s="23"/>
      <c r="B416" s="29"/>
      <c r="C416" s="29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5"/>
      <c r="AA416" s="5"/>
    </row>
    <row r="417" spans="1:27" x14ac:dyDescent="0.3">
      <c r="A417" s="23"/>
      <c r="B417" s="29"/>
      <c r="C417" s="29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5"/>
      <c r="AA417" s="5"/>
    </row>
    <row r="418" spans="1:27" x14ac:dyDescent="0.3">
      <c r="A418" s="23"/>
      <c r="B418" s="29"/>
      <c r="C418" s="29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5"/>
      <c r="AA418" s="5"/>
    </row>
    <row r="419" spans="1:27" x14ac:dyDescent="0.3">
      <c r="A419" s="23"/>
      <c r="B419" s="29"/>
      <c r="C419" s="29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5"/>
      <c r="AA419" s="5"/>
    </row>
    <row r="420" spans="1:27" x14ac:dyDescent="0.3">
      <c r="A420" s="23"/>
      <c r="B420" s="29"/>
      <c r="C420" s="29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5"/>
      <c r="AA420" s="5"/>
    </row>
    <row r="421" spans="1:27" x14ac:dyDescent="0.3">
      <c r="A421" s="23"/>
      <c r="B421" s="29"/>
      <c r="C421" s="29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5"/>
      <c r="AA421" s="5"/>
    </row>
    <row r="422" spans="1:27" x14ac:dyDescent="0.3">
      <c r="A422" s="23"/>
      <c r="B422" s="29"/>
      <c r="C422" s="29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5"/>
      <c r="AA422" s="5"/>
    </row>
    <row r="423" spans="1:27" x14ac:dyDescent="0.3">
      <c r="A423" s="23"/>
      <c r="B423" s="29"/>
      <c r="C423" s="29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5"/>
      <c r="AA423" s="5"/>
    </row>
    <row r="424" spans="1:27" x14ac:dyDescent="0.3">
      <c r="A424" s="23"/>
      <c r="B424" s="29"/>
      <c r="C424" s="29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5"/>
      <c r="AA424" s="5"/>
    </row>
    <row r="425" spans="1:27" x14ac:dyDescent="0.3">
      <c r="A425" s="23"/>
      <c r="B425" s="29"/>
      <c r="C425" s="29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5"/>
      <c r="AA425" s="5"/>
    </row>
    <row r="426" spans="1:27" x14ac:dyDescent="0.3">
      <c r="A426" s="23"/>
      <c r="B426" s="29"/>
      <c r="C426" s="29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5"/>
      <c r="AA426" s="5"/>
    </row>
    <row r="427" spans="1:27" x14ac:dyDescent="0.3">
      <c r="A427" s="23"/>
      <c r="B427" s="29"/>
      <c r="C427" s="29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5"/>
      <c r="AA427" s="5"/>
    </row>
    <row r="428" spans="1:27" x14ac:dyDescent="0.3">
      <c r="A428" s="23"/>
      <c r="B428" s="29"/>
      <c r="C428" s="29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5"/>
      <c r="AA428" s="5"/>
    </row>
    <row r="429" spans="1:27" x14ac:dyDescent="0.3">
      <c r="A429" s="23"/>
      <c r="B429" s="29"/>
      <c r="C429" s="29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5"/>
      <c r="AA429" s="5"/>
    </row>
    <row r="430" spans="1:27" x14ac:dyDescent="0.3">
      <c r="A430" s="23"/>
      <c r="B430" s="29"/>
      <c r="C430" s="29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5"/>
      <c r="AA430" s="5"/>
    </row>
    <row r="431" spans="1:27" x14ac:dyDescent="0.3">
      <c r="A431" s="23"/>
      <c r="B431" s="29"/>
      <c r="C431" s="29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5"/>
      <c r="AA431" s="5"/>
    </row>
    <row r="432" spans="1:27" x14ac:dyDescent="0.3">
      <c r="A432" s="23"/>
      <c r="B432" s="29"/>
      <c r="C432" s="29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5"/>
      <c r="AA432" s="5"/>
    </row>
    <row r="433" spans="1:27" x14ac:dyDescent="0.3">
      <c r="A433" s="23"/>
      <c r="B433" s="29"/>
      <c r="C433" s="29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5"/>
      <c r="AA433" s="5"/>
    </row>
    <row r="434" spans="1:27" x14ac:dyDescent="0.3">
      <c r="A434" s="23"/>
      <c r="B434" s="29"/>
      <c r="C434" s="29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5"/>
      <c r="AA434" s="5"/>
    </row>
    <row r="435" spans="1:27" x14ac:dyDescent="0.3">
      <c r="A435" s="23"/>
      <c r="B435" s="29"/>
      <c r="C435" s="29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5"/>
      <c r="AA435" s="5"/>
    </row>
    <row r="436" spans="1:27" x14ac:dyDescent="0.3">
      <c r="A436" s="23"/>
      <c r="B436" s="29"/>
      <c r="C436" s="29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5"/>
      <c r="AA436" s="5"/>
    </row>
    <row r="437" spans="1:27" x14ac:dyDescent="0.3">
      <c r="A437" s="23"/>
      <c r="B437" s="29"/>
      <c r="C437" s="29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5"/>
      <c r="AA437" s="5"/>
    </row>
    <row r="438" spans="1:27" x14ac:dyDescent="0.3">
      <c r="A438" s="23"/>
      <c r="B438" s="29"/>
      <c r="C438" s="29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5"/>
      <c r="AA438" s="5"/>
    </row>
    <row r="439" spans="1:27" x14ac:dyDescent="0.3">
      <c r="A439" s="23"/>
      <c r="B439" s="29"/>
      <c r="C439" s="29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5"/>
      <c r="AA439" s="5"/>
    </row>
    <row r="440" spans="1:27" x14ac:dyDescent="0.3">
      <c r="A440" s="23"/>
      <c r="B440" s="29"/>
      <c r="C440" s="29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5"/>
      <c r="AA440" s="5"/>
    </row>
    <row r="441" spans="1:27" x14ac:dyDescent="0.3">
      <c r="A441" s="23"/>
      <c r="B441" s="29"/>
      <c r="C441" s="29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5"/>
      <c r="AA441" s="5"/>
    </row>
    <row r="442" spans="1:27" x14ac:dyDescent="0.3">
      <c r="A442" s="23"/>
      <c r="B442" s="29"/>
      <c r="C442" s="29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5"/>
      <c r="AA442" s="5"/>
    </row>
    <row r="443" spans="1:27" x14ac:dyDescent="0.3">
      <c r="A443" s="23"/>
      <c r="B443" s="29"/>
      <c r="C443" s="29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5"/>
      <c r="AA443" s="5"/>
    </row>
    <row r="444" spans="1:27" x14ac:dyDescent="0.3">
      <c r="A444" s="23"/>
      <c r="B444" s="29"/>
      <c r="C444" s="29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5"/>
      <c r="AA444" s="5"/>
    </row>
    <row r="445" spans="1:27" x14ac:dyDescent="0.3">
      <c r="A445" s="23"/>
      <c r="B445" s="29"/>
      <c r="C445" s="29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5"/>
      <c r="AA445" s="5"/>
    </row>
    <row r="446" spans="1:27" x14ac:dyDescent="0.3">
      <c r="A446" s="23"/>
      <c r="B446" s="29"/>
      <c r="C446" s="29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5"/>
      <c r="AA446" s="5"/>
    </row>
    <row r="447" spans="1:27" x14ac:dyDescent="0.3">
      <c r="A447" s="23"/>
      <c r="B447" s="29"/>
      <c r="C447" s="29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5"/>
      <c r="AA447" s="5"/>
    </row>
    <row r="448" spans="1:27" x14ac:dyDescent="0.3">
      <c r="A448" s="23"/>
      <c r="B448" s="29"/>
      <c r="C448" s="29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5"/>
      <c r="AA448" s="5"/>
    </row>
    <row r="449" spans="1:27" x14ac:dyDescent="0.3">
      <c r="A449" s="23"/>
      <c r="B449" s="29"/>
      <c r="C449" s="29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5"/>
      <c r="AA449" s="5"/>
    </row>
    <row r="450" spans="1:27" x14ac:dyDescent="0.3">
      <c r="A450" s="23"/>
      <c r="B450" s="29"/>
      <c r="C450" s="29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</row>
    <row r="451" spans="1:27" x14ac:dyDescent="0.3">
      <c r="A451" s="23"/>
      <c r="B451" s="29"/>
      <c r="C451" s="29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</row>
    <row r="452" spans="1:27" x14ac:dyDescent="0.3">
      <c r="A452" s="23"/>
      <c r="B452" s="29"/>
      <c r="C452" s="29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</row>
    <row r="453" spans="1:27" x14ac:dyDescent="0.3">
      <c r="A453" s="23"/>
      <c r="B453" s="29"/>
      <c r="C453" s="29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</row>
    <row r="454" spans="1:27" x14ac:dyDescent="0.3">
      <c r="A454" s="23"/>
      <c r="B454" s="29"/>
      <c r="C454" s="29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</row>
    <row r="455" spans="1:27" x14ac:dyDescent="0.3">
      <c r="A455" s="23"/>
      <c r="B455" s="29"/>
      <c r="C455" s="29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</row>
    <row r="456" spans="1:27" x14ac:dyDescent="0.3">
      <c r="A456" s="23"/>
      <c r="B456" s="29"/>
      <c r="C456" s="29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</row>
    <row r="457" spans="1:27" x14ac:dyDescent="0.3">
      <c r="A457" s="23"/>
      <c r="B457" s="29"/>
      <c r="C457" s="29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</row>
    <row r="458" spans="1:27" x14ac:dyDescent="0.3">
      <c r="A458" s="23"/>
      <c r="B458" s="29"/>
      <c r="C458" s="29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</row>
    <row r="459" spans="1:27" x14ac:dyDescent="0.3">
      <c r="A459" s="23"/>
      <c r="B459" s="29"/>
      <c r="C459" s="29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</row>
    <row r="460" spans="1:27" s="4" customFormat="1" x14ac:dyDescent="0.3">
      <c r="A460" s="23"/>
      <c r="B460" s="29"/>
      <c r="C460" s="29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</row>
    <row r="461" spans="1:27" s="4" customFormat="1" x14ac:dyDescent="0.3">
      <c r="A461" s="23"/>
      <c r="B461" s="29"/>
      <c r="C461" s="29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</row>
    <row r="462" spans="1:27" s="4" customFormat="1" x14ac:dyDescent="0.3">
      <c r="A462" s="23"/>
      <c r="B462" s="29"/>
      <c r="C462" s="29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</row>
    <row r="463" spans="1:27" s="4" customFormat="1" x14ac:dyDescent="0.3">
      <c r="A463" s="23"/>
      <c r="B463" s="29"/>
      <c r="C463" s="29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</row>
    <row r="464" spans="1:27" s="4" customFormat="1" x14ac:dyDescent="0.3">
      <c r="A464" s="23"/>
      <c r="B464" s="29"/>
      <c r="C464" s="29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</row>
    <row r="465" spans="1:25" s="4" customFormat="1" x14ac:dyDescent="0.3">
      <c r="A465" s="23"/>
      <c r="B465" s="29"/>
      <c r="C465" s="29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</row>
    <row r="466" spans="1:25" s="4" customFormat="1" x14ac:dyDescent="0.3">
      <c r="A466" s="23"/>
      <c r="B466" s="29"/>
      <c r="C466" s="29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</row>
    <row r="467" spans="1:25" s="4" customFormat="1" x14ac:dyDescent="0.3">
      <c r="A467" s="23"/>
      <c r="B467" s="29"/>
      <c r="C467" s="29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</row>
    <row r="468" spans="1:25" s="4" customFormat="1" x14ac:dyDescent="0.3">
      <c r="A468" s="23"/>
      <c r="B468" s="29"/>
      <c r="C468" s="29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</row>
    <row r="469" spans="1:25" s="4" customFormat="1" x14ac:dyDescent="0.3">
      <c r="A469" s="23"/>
      <c r="B469" s="29"/>
      <c r="C469" s="29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</row>
    <row r="470" spans="1:25" s="4" customFormat="1" x14ac:dyDescent="0.3">
      <c r="A470" s="23"/>
      <c r="B470" s="29"/>
      <c r="C470" s="29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</row>
    <row r="471" spans="1:25" s="4" customFormat="1" x14ac:dyDescent="0.3">
      <c r="A471" s="23"/>
      <c r="B471" s="29"/>
      <c r="C471" s="29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</row>
    <row r="472" spans="1:25" s="4" customFormat="1" x14ac:dyDescent="0.3">
      <c r="A472" s="23"/>
      <c r="B472" s="29"/>
      <c r="C472" s="29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</row>
    <row r="473" spans="1:25" s="4" customFormat="1" x14ac:dyDescent="0.3">
      <c r="A473" s="23"/>
      <c r="B473" s="29"/>
      <c r="C473" s="29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</row>
  </sheetData>
  <mergeCells count="73">
    <mergeCell ref="C19:C20"/>
    <mergeCell ref="I83:I88"/>
    <mergeCell ref="I71:I76"/>
    <mergeCell ref="B37:B39"/>
    <mergeCell ref="A57:A58"/>
    <mergeCell ref="A21:A22"/>
    <mergeCell ref="A33:A34"/>
    <mergeCell ref="A35:A36"/>
    <mergeCell ref="A37:A39"/>
    <mergeCell ref="A27:A28"/>
    <mergeCell ref="B40:B41"/>
    <mergeCell ref="B57:B58"/>
    <mergeCell ref="B55:B56"/>
    <mergeCell ref="B53:B54"/>
    <mergeCell ref="B48:B49"/>
    <mergeCell ref="A59:A60"/>
    <mergeCell ref="A40:A41"/>
    <mergeCell ref="A13:A18"/>
    <mergeCell ref="B33:B34"/>
    <mergeCell ref="B19:B20"/>
    <mergeCell ref="B21:B22"/>
    <mergeCell ref="B31:B32"/>
    <mergeCell ref="B13:B18"/>
    <mergeCell ref="B27:B28"/>
    <mergeCell ref="A19:A20"/>
    <mergeCell ref="A23:A24"/>
    <mergeCell ref="B23:B24"/>
    <mergeCell ref="H9:H10"/>
    <mergeCell ref="Y9:Y10"/>
    <mergeCell ref="V9:V10"/>
    <mergeCell ref="N9:N10"/>
    <mergeCell ref="A12:Y12"/>
    <mergeCell ref="O9:O10"/>
    <mergeCell ref="P9:P10"/>
    <mergeCell ref="Q9:Q10"/>
    <mergeCell ref="R9:U9"/>
    <mergeCell ref="I9:I10"/>
    <mergeCell ref="M9:M10"/>
    <mergeCell ref="L9:L10"/>
    <mergeCell ref="K9:K10"/>
    <mergeCell ref="J9:J10"/>
    <mergeCell ref="A44:A45"/>
    <mergeCell ref="A46:A47"/>
    <mergeCell ref="A48:A49"/>
    <mergeCell ref="A51:A52"/>
    <mergeCell ref="B1:Y1"/>
    <mergeCell ref="B2:Y2"/>
    <mergeCell ref="A7:Y7"/>
    <mergeCell ref="A8:Y8"/>
    <mergeCell ref="A9:A10"/>
    <mergeCell ref="B9:B10"/>
    <mergeCell ref="D9:D10"/>
    <mergeCell ref="E9:E10"/>
    <mergeCell ref="F9:F10"/>
    <mergeCell ref="G9:G10"/>
    <mergeCell ref="W9:W10"/>
    <mergeCell ref="X9:X10"/>
    <mergeCell ref="A53:A54"/>
    <mergeCell ref="A55:A56"/>
    <mergeCell ref="A61:A110"/>
    <mergeCell ref="B61:B110"/>
    <mergeCell ref="B25:B26"/>
    <mergeCell ref="A29:A30"/>
    <mergeCell ref="A31:A32"/>
    <mergeCell ref="B44:B45"/>
    <mergeCell ref="A25:A26"/>
    <mergeCell ref="B35:B36"/>
    <mergeCell ref="B42:B43"/>
    <mergeCell ref="B51:B52"/>
    <mergeCell ref="B29:B30"/>
    <mergeCell ref="B46:B47"/>
    <mergeCell ref="B59:B60"/>
    <mergeCell ref="A42:A43"/>
  </mergeCells>
  <phoneticPr fontId="18" type="noConversion"/>
  <pageMargins left="0.31496062992125984" right="0.19685039370078741" top="0.78740157480314965" bottom="0.19685039370078741" header="0.11811023622047245" footer="0.11811023622047245"/>
  <pageSetup paperSize="9" scale="47" orientation="landscape" horizontalDpi="300" verticalDpi="300" r:id="rId1"/>
  <headerFooter alignWithMargins="0"/>
  <rowBreaks count="1" manualBreakCount="1">
    <brk id="43" max="23" man="1"/>
  </rowBreaks>
  <colBreaks count="1" manualBreakCount="1">
    <brk id="25" max="713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R82"/>
  <sheetViews>
    <sheetView view="pageBreakPreview" topLeftCell="A22" zoomScale="60" zoomScaleNormal="48" workbookViewId="0">
      <selection activeCell="E46" sqref="E46:E47"/>
    </sheetView>
  </sheetViews>
  <sheetFormatPr defaultColWidth="9.28515625" defaultRowHeight="18.75" x14ac:dyDescent="0.3"/>
  <cols>
    <col min="1" max="1" width="5.5703125" style="23" customWidth="1"/>
    <col min="2" max="2" width="49.42578125" style="29" customWidth="1"/>
    <col min="3" max="3" width="16.5703125" style="29" customWidth="1"/>
    <col min="4" max="4" width="14.7109375" style="23" customWidth="1"/>
    <col min="5" max="5" width="32.42578125" style="23" customWidth="1"/>
    <col min="6" max="6" width="8.28515625" style="23" customWidth="1"/>
    <col min="7" max="7" width="8.5703125" style="23" customWidth="1"/>
    <col min="8" max="8" width="8" style="23" customWidth="1"/>
    <col min="9" max="9" width="8.5703125" style="23" customWidth="1"/>
    <col min="10" max="10" width="10.7109375" style="23" customWidth="1"/>
    <col min="11" max="11" width="7.5703125" style="23" customWidth="1"/>
    <col min="12" max="12" width="6.7109375" style="23" customWidth="1"/>
    <col min="13" max="13" width="9" style="23" customWidth="1"/>
    <col min="14" max="14" width="7.7109375" style="23" customWidth="1"/>
    <col min="15" max="15" width="8.42578125" style="23" customWidth="1"/>
    <col min="16" max="16" width="7.42578125" style="23" customWidth="1"/>
    <col min="17" max="17" width="7.7109375" style="23" customWidth="1"/>
    <col min="18" max="20" width="6.85546875" style="23" customWidth="1"/>
    <col min="21" max="21" width="7.7109375" style="23" customWidth="1"/>
    <col min="22" max="22" width="9.28515625" style="23" customWidth="1"/>
    <col min="23" max="23" width="7.28515625" style="23" customWidth="1"/>
    <col min="24" max="24" width="7.7109375" style="23" customWidth="1"/>
    <col min="25" max="25" width="10.42578125" style="23" customWidth="1"/>
    <col min="26" max="26" width="0.28515625" style="1" hidden="1" customWidth="1"/>
    <col min="27" max="16384" width="9.28515625" style="1"/>
  </cols>
  <sheetData>
    <row r="1" spans="1:44" x14ac:dyDescent="0.3">
      <c r="A1" s="86"/>
      <c r="B1" s="413" t="s">
        <v>39</v>
      </c>
      <c r="C1" s="413"/>
      <c r="D1" s="413"/>
      <c r="E1" s="413"/>
      <c r="F1" s="413"/>
      <c r="G1" s="413"/>
      <c r="H1" s="413"/>
      <c r="I1" s="413"/>
      <c r="J1" s="413"/>
      <c r="K1" s="413"/>
      <c r="L1" s="413"/>
      <c r="M1" s="413"/>
      <c r="N1" s="413"/>
      <c r="O1" s="413"/>
      <c r="P1" s="413"/>
      <c r="Q1" s="413"/>
      <c r="R1" s="413"/>
      <c r="S1" s="413"/>
      <c r="T1" s="413"/>
      <c r="U1" s="413"/>
      <c r="V1" s="413"/>
      <c r="W1" s="413"/>
      <c r="X1" s="413"/>
      <c r="Y1" s="413"/>
    </row>
    <row r="2" spans="1:44" x14ac:dyDescent="0.3">
      <c r="A2" s="86"/>
      <c r="B2" s="19"/>
      <c r="C2" s="19"/>
      <c r="D2" s="19"/>
      <c r="E2" s="19"/>
      <c r="F2" s="19"/>
      <c r="G2" s="19"/>
      <c r="H2" s="19"/>
      <c r="I2" s="86"/>
      <c r="J2" s="8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22" t="s">
        <v>17</v>
      </c>
    </row>
    <row r="3" spans="1:44" x14ac:dyDescent="0.3">
      <c r="A3" s="86"/>
      <c r="B3" s="19"/>
      <c r="C3" s="19"/>
      <c r="D3" s="19"/>
      <c r="E3" s="19"/>
      <c r="F3" s="19"/>
      <c r="G3" s="19"/>
      <c r="H3" s="86"/>
      <c r="I3" s="86"/>
      <c r="J3" s="86"/>
      <c r="K3" s="6"/>
      <c r="L3" s="6"/>
      <c r="M3" s="6"/>
      <c r="N3" s="6"/>
      <c r="O3" s="6"/>
      <c r="P3" s="6"/>
      <c r="Q3" s="6"/>
      <c r="R3" s="19" t="s">
        <v>18</v>
      </c>
      <c r="U3" s="6"/>
      <c r="V3" s="6"/>
      <c r="X3" s="6"/>
      <c r="Y3" s="24"/>
    </row>
    <row r="4" spans="1:44" x14ac:dyDescent="0.3">
      <c r="A4" s="86"/>
      <c r="B4" s="19"/>
      <c r="C4" s="19"/>
      <c r="D4" s="19"/>
      <c r="E4" s="19"/>
      <c r="F4" s="19"/>
      <c r="G4" s="19"/>
      <c r="H4" s="86"/>
      <c r="I4" s="86"/>
      <c r="J4" s="86"/>
      <c r="K4" s="6"/>
      <c r="L4" s="6"/>
      <c r="M4" s="6"/>
      <c r="N4" s="6"/>
      <c r="O4" s="6"/>
      <c r="P4" s="6"/>
      <c r="Q4" s="6"/>
      <c r="R4" s="29" t="s">
        <v>119</v>
      </c>
      <c r="U4" s="6"/>
      <c r="V4" s="6"/>
      <c r="X4" s="6"/>
      <c r="Y4" s="24"/>
    </row>
    <row r="5" spans="1:44" x14ac:dyDescent="0.3">
      <c r="A5" s="86"/>
      <c r="B5" s="19"/>
      <c r="C5" s="19"/>
      <c r="D5" s="6"/>
      <c r="E5" s="6"/>
      <c r="F5" s="6"/>
      <c r="G5" s="86"/>
      <c r="H5" s="86"/>
      <c r="I5" s="86"/>
      <c r="J5" s="86"/>
      <c r="K5" s="6"/>
      <c r="L5" s="6"/>
      <c r="M5" s="6"/>
      <c r="N5" s="6"/>
      <c r="O5" s="6"/>
      <c r="P5" s="6"/>
      <c r="Q5" s="6"/>
      <c r="R5" s="19" t="s">
        <v>34</v>
      </c>
      <c r="U5" s="6"/>
      <c r="V5" s="6"/>
      <c r="X5" s="6"/>
      <c r="Y5" s="24"/>
    </row>
    <row r="6" spans="1:44" x14ac:dyDescent="0.2">
      <c r="A6" s="414" t="s">
        <v>281</v>
      </c>
      <c r="B6" s="414"/>
      <c r="C6" s="414"/>
      <c r="D6" s="414"/>
      <c r="E6" s="414"/>
      <c r="F6" s="414"/>
      <c r="G6" s="414"/>
      <c r="H6" s="414"/>
      <c r="I6" s="414"/>
      <c r="J6" s="414"/>
      <c r="K6" s="414"/>
      <c r="L6" s="414"/>
      <c r="M6" s="414"/>
      <c r="N6" s="414"/>
      <c r="O6" s="414"/>
      <c r="P6" s="414"/>
      <c r="Q6" s="414"/>
      <c r="R6" s="414"/>
      <c r="S6" s="414"/>
      <c r="T6" s="414"/>
      <c r="U6" s="414"/>
      <c r="V6" s="414"/>
      <c r="W6" s="414"/>
      <c r="X6" s="414"/>
      <c r="Y6" s="414"/>
    </row>
    <row r="7" spans="1:44" ht="21" customHeight="1" thickBot="1" x14ac:dyDescent="0.25">
      <c r="A7" s="414" t="s">
        <v>6</v>
      </c>
      <c r="B7" s="414"/>
      <c r="C7" s="414"/>
      <c r="D7" s="414"/>
      <c r="E7" s="414"/>
      <c r="F7" s="414"/>
      <c r="G7" s="414"/>
      <c r="H7" s="414"/>
      <c r="I7" s="414"/>
      <c r="J7" s="414"/>
      <c r="K7" s="414"/>
      <c r="L7" s="414"/>
      <c r="M7" s="414"/>
      <c r="N7" s="414"/>
      <c r="O7" s="414"/>
      <c r="P7" s="414"/>
      <c r="Q7" s="414"/>
      <c r="R7" s="414"/>
      <c r="S7" s="414"/>
      <c r="T7" s="414"/>
      <c r="U7" s="414"/>
      <c r="V7" s="414"/>
      <c r="W7" s="414"/>
      <c r="X7" s="414"/>
      <c r="Y7" s="414"/>
    </row>
    <row r="8" spans="1:44" ht="18.75" customHeight="1" x14ac:dyDescent="0.2">
      <c r="A8" s="416" t="s">
        <v>19</v>
      </c>
      <c r="B8" s="417" t="s">
        <v>20</v>
      </c>
      <c r="C8" s="273"/>
      <c r="D8" s="410" t="s">
        <v>5</v>
      </c>
      <c r="E8" s="410" t="s">
        <v>13</v>
      </c>
      <c r="F8" s="410" t="s">
        <v>59</v>
      </c>
      <c r="G8" s="410" t="s">
        <v>21</v>
      </c>
      <c r="H8" s="410" t="s">
        <v>22</v>
      </c>
      <c r="I8" s="410" t="s">
        <v>23</v>
      </c>
      <c r="J8" s="410" t="s">
        <v>4</v>
      </c>
      <c r="K8" s="410" t="s">
        <v>3</v>
      </c>
      <c r="L8" s="410" t="s">
        <v>38</v>
      </c>
      <c r="M8" s="410" t="s">
        <v>2</v>
      </c>
      <c r="N8" s="410" t="s">
        <v>37</v>
      </c>
      <c r="O8" s="410" t="s">
        <v>15</v>
      </c>
      <c r="P8" s="410" t="s">
        <v>24</v>
      </c>
      <c r="Q8" s="410" t="s">
        <v>16</v>
      </c>
      <c r="R8" s="412" t="s">
        <v>25</v>
      </c>
      <c r="S8" s="412"/>
      <c r="T8" s="412"/>
      <c r="U8" s="412"/>
      <c r="V8" s="410" t="s">
        <v>36</v>
      </c>
      <c r="W8" s="410" t="s">
        <v>26</v>
      </c>
      <c r="X8" s="484" t="s">
        <v>1</v>
      </c>
      <c r="Y8" s="482" t="s">
        <v>64</v>
      </c>
    </row>
    <row r="9" spans="1:44" ht="103.5" customHeight="1" x14ac:dyDescent="0.2">
      <c r="A9" s="398"/>
      <c r="B9" s="418"/>
      <c r="C9" s="274"/>
      <c r="D9" s="411"/>
      <c r="E9" s="411"/>
      <c r="F9" s="411"/>
      <c r="G9" s="411"/>
      <c r="H9" s="411"/>
      <c r="I9" s="411"/>
      <c r="J9" s="411"/>
      <c r="K9" s="411"/>
      <c r="L9" s="411"/>
      <c r="M9" s="411"/>
      <c r="N9" s="411"/>
      <c r="O9" s="411"/>
      <c r="P9" s="411"/>
      <c r="Q9" s="411"/>
      <c r="R9" s="83" t="s">
        <v>28</v>
      </c>
      <c r="S9" s="83" t="s">
        <v>29</v>
      </c>
      <c r="T9" s="83" t="s">
        <v>30</v>
      </c>
      <c r="U9" s="83" t="s">
        <v>0</v>
      </c>
      <c r="V9" s="411"/>
      <c r="W9" s="411"/>
      <c r="X9" s="485"/>
      <c r="Y9" s="483"/>
    </row>
    <row r="10" spans="1:44" ht="19.5" thickBot="1" x14ac:dyDescent="0.25">
      <c r="A10" s="80">
        <v>1</v>
      </c>
      <c r="B10" s="74">
        <v>2</v>
      </c>
      <c r="C10" s="74"/>
      <c r="D10" s="82">
        <v>3</v>
      </c>
      <c r="E10" s="82">
        <v>4</v>
      </c>
      <c r="F10" s="82">
        <v>5</v>
      </c>
      <c r="G10" s="82">
        <v>6</v>
      </c>
      <c r="H10" s="82">
        <v>7</v>
      </c>
      <c r="I10" s="82">
        <v>8</v>
      </c>
      <c r="J10" s="82">
        <v>9</v>
      </c>
      <c r="K10" s="82">
        <v>10</v>
      </c>
      <c r="L10" s="82">
        <v>11</v>
      </c>
      <c r="M10" s="82">
        <v>12</v>
      </c>
      <c r="N10" s="82">
        <v>13</v>
      </c>
      <c r="O10" s="82">
        <v>14</v>
      </c>
      <c r="P10" s="82">
        <v>15</v>
      </c>
      <c r="Q10" s="82">
        <v>16</v>
      </c>
      <c r="R10" s="82">
        <v>17</v>
      </c>
      <c r="S10" s="82">
        <v>18</v>
      </c>
      <c r="T10" s="82">
        <v>19</v>
      </c>
      <c r="U10" s="82">
        <v>20</v>
      </c>
      <c r="V10" s="82">
        <v>21</v>
      </c>
      <c r="W10" s="82">
        <v>22</v>
      </c>
      <c r="X10" s="82">
        <v>23</v>
      </c>
      <c r="Y10" s="36">
        <v>24</v>
      </c>
    </row>
    <row r="11" spans="1:44" s="5" customFormat="1" ht="24" customHeight="1" thickBot="1" x14ac:dyDescent="0.25">
      <c r="A11" s="434" t="s">
        <v>154</v>
      </c>
      <c r="B11" s="435"/>
      <c r="C11" s="435"/>
      <c r="D11" s="435"/>
      <c r="E11" s="435"/>
      <c r="F11" s="435"/>
      <c r="G11" s="435"/>
      <c r="H11" s="435"/>
      <c r="I11" s="435"/>
      <c r="J11" s="435"/>
      <c r="K11" s="435"/>
      <c r="L11" s="435"/>
      <c r="M11" s="435"/>
      <c r="N11" s="435"/>
      <c r="O11" s="435"/>
      <c r="P11" s="435"/>
      <c r="Q11" s="435"/>
      <c r="R11" s="435"/>
      <c r="S11" s="435"/>
      <c r="T11" s="435"/>
      <c r="U11" s="435"/>
      <c r="V11" s="435"/>
      <c r="W11" s="435"/>
      <c r="X11" s="435"/>
      <c r="Y11" s="527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</row>
    <row r="12" spans="1:44" s="5" customFormat="1" ht="24" customHeight="1" x14ac:dyDescent="0.3">
      <c r="A12" s="538">
        <v>1</v>
      </c>
      <c r="B12" s="539" t="s">
        <v>270</v>
      </c>
      <c r="C12" s="515" t="s">
        <v>649</v>
      </c>
      <c r="D12" s="126" t="s">
        <v>45</v>
      </c>
      <c r="E12" s="126" t="s">
        <v>95</v>
      </c>
      <c r="F12" s="126">
        <v>5</v>
      </c>
      <c r="G12" s="126" t="s">
        <v>35</v>
      </c>
      <c r="H12" s="126">
        <v>25</v>
      </c>
      <c r="I12" s="127">
        <v>30</v>
      </c>
      <c r="J12" s="126">
        <v>15</v>
      </c>
      <c r="K12" s="126"/>
      <c r="L12" s="126"/>
      <c r="M12" s="126">
        <v>15</v>
      </c>
      <c r="N12" s="34"/>
      <c r="O12" s="4"/>
      <c r="P12" s="4"/>
      <c r="Q12" s="34"/>
      <c r="R12" s="34"/>
      <c r="S12" s="34"/>
      <c r="T12" s="35"/>
      <c r="U12" s="126"/>
      <c r="V12" s="126"/>
      <c r="W12" s="126"/>
      <c r="X12" s="126"/>
      <c r="Y12" s="36">
        <v>2.1</v>
      </c>
      <c r="Z12" s="4"/>
      <c r="AA12" s="4" t="s">
        <v>466</v>
      </c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</row>
    <row r="13" spans="1:44" s="5" customFormat="1" ht="24" customHeight="1" x14ac:dyDescent="0.3">
      <c r="A13" s="495"/>
      <c r="B13" s="474"/>
      <c r="C13" s="403"/>
      <c r="D13" s="126" t="s">
        <v>45</v>
      </c>
      <c r="E13" s="126" t="s">
        <v>96</v>
      </c>
      <c r="F13" s="126">
        <v>5</v>
      </c>
      <c r="G13" s="126" t="s">
        <v>35</v>
      </c>
      <c r="H13" s="126">
        <v>25</v>
      </c>
      <c r="I13" s="127"/>
      <c r="J13" s="126">
        <v>15</v>
      </c>
      <c r="K13" s="126"/>
      <c r="L13" s="126"/>
      <c r="M13" s="126"/>
      <c r="N13" s="34"/>
      <c r="O13" s="4"/>
      <c r="P13" s="4"/>
      <c r="Q13" s="34"/>
      <c r="R13" s="34"/>
      <c r="S13" s="34"/>
      <c r="T13" s="35"/>
      <c r="U13" s="126"/>
      <c r="V13" s="126"/>
      <c r="W13" s="126"/>
      <c r="X13" s="126"/>
      <c r="Y13" s="36">
        <v>0.6</v>
      </c>
      <c r="Z13" s="4"/>
      <c r="AA13" s="4" t="s">
        <v>466</v>
      </c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</row>
    <row r="14" spans="1:44" s="5" customFormat="1" ht="24" customHeight="1" x14ac:dyDescent="0.3">
      <c r="A14" s="495"/>
      <c r="B14" s="474"/>
      <c r="C14" s="403"/>
      <c r="D14" s="126" t="s">
        <v>45</v>
      </c>
      <c r="E14" s="126" t="s">
        <v>151</v>
      </c>
      <c r="F14" s="126">
        <v>5</v>
      </c>
      <c r="G14" s="126" t="s">
        <v>35</v>
      </c>
      <c r="H14" s="126">
        <v>26</v>
      </c>
      <c r="I14" s="127"/>
      <c r="J14" s="126">
        <v>15</v>
      </c>
      <c r="K14" s="126"/>
      <c r="L14" s="126"/>
      <c r="M14" s="126"/>
      <c r="N14" s="34"/>
      <c r="O14" s="4"/>
      <c r="P14" s="4"/>
      <c r="Q14" s="34"/>
      <c r="R14" s="34"/>
      <c r="S14" s="34"/>
      <c r="T14" s="35"/>
      <c r="U14" s="126"/>
      <c r="V14" s="126"/>
      <c r="W14" s="126"/>
      <c r="X14" s="126"/>
      <c r="Y14" s="36">
        <v>0.6</v>
      </c>
      <c r="Z14" s="4"/>
      <c r="AA14" s="4" t="s">
        <v>466</v>
      </c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</row>
    <row r="15" spans="1:44" s="5" customFormat="1" ht="24" customHeight="1" x14ac:dyDescent="0.3">
      <c r="A15" s="495"/>
      <c r="B15" s="474"/>
      <c r="C15" s="403"/>
      <c r="D15" s="126" t="s">
        <v>45</v>
      </c>
      <c r="E15" s="126" t="s">
        <v>152</v>
      </c>
      <c r="F15" s="126">
        <v>5</v>
      </c>
      <c r="G15" s="126" t="s">
        <v>35</v>
      </c>
      <c r="H15" s="126">
        <v>26</v>
      </c>
      <c r="I15" s="127"/>
      <c r="J15" s="126">
        <v>15</v>
      </c>
      <c r="K15" s="126"/>
      <c r="L15" s="126"/>
      <c r="M15" s="126"/>
      <c r="N15" s="34"/>
      <c r="O15" s="4"/>
      <c r="P15" s="4"/>
      <c r="Q15" s="34"/>
      <c r="R15" s="34"/>
      <c r="S15" s="34"/>
      <c r="T15" s="35"/>
      <c r="U15" s="126"/>
      <c r="V15" s="126"/>
      <c r="W15" s="126"/>
      <c r="X15" s="126"/>
      <c r="Y15" s="36">
        <v>0.6</v>
      </c>
      <c r="Z15" s="4"/>
      <c r="AA15" s="4" t="s">
        <v>466</v>
      </c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</row>
    <row r="16" spans="1:44" s="5" customFormat="1" ht="24" customHeight="1" x14ac:dyDescent="0.3">
      <c r="A16" s="495"/>
      <c r="B16" s="474"/>
      <c r="C16" s="403"/>
      <c r="D16" s="126" t="s">
        <v>45</v>
      </c>
      <c r="E16" s="126" t="s">
        <v>166</v>
      </c>
      <c r="F16" s="126">
        <v>5</v>
      </c>
      <c r="G16" s="126" t="s">
        <v>35</v>
      </c>
      <c r="H16" s="126">
        <v>26</v>
      </c>
      <c r="I16" s="127"/>
      <c r="J16" s="126">
        <v>15</v>
      </c>
      <c r="K16" s="126"/>
      <c r="L16" s="126"/>
      <c r="M16" s="126"/>
      <c r="N16" s="34"/>
      <c r="O16" s="4"/>
      <c r="P16" s="4"/>
      <c r="Q16" s="34"/>
      <c r="R16" s="34"/>
      <c r="S16" s="34"/>
      <c r="T16" s="35"/>
      <c r="U16" s="126"/>
      <c r="V16" s="126"/>
      <c r="W16" s="126"/>
      <c r="X16" s="126"/>
      <c r="Y16" s="36">
        <v>0.6</v>
      </c>
      <c r="Z16" s="4"/>
      <c r="AA16" s="4" t="s">
        <v>466</v>
      </c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</row>
    <row r="17" spans="1:44" s="5" customFormat="1" ht="24" customHeight="1" thickBot="1" x14ac:dyDescent="0.25">
      <c r="A17" s="495"/>
      <c r="B17" s="474"/>
      <c r="C17" s="493"/>
      <c r="D17" s="126" t="s">
        <v>170</v>
      </c>
      <c r="E17" s="126" t="s">
        <v>112</v>
      </c>
      <c r="F17" s="126">
        <v>5</v>
      </c>
      <c r="G17" s="126" t="s">
        <v>32</v>
      </c>
      <c r="H17" s="126">
        <v>12</v>
      </c>
      <c r="I17" s="127">
        <v>30</v>
      </c>
      <c r="J17" s="126">
        <v>15</v>
      </c>
      <c r="K17" s="126"/>
      <c r="L17" s="126"/>
      <c r="M17" s="126">
        <v>15</v>
      </c>
      <c r="N17" s="126"/>
      <c r="O17" s="4"/>
      <c r="P17" s="4"/>
      <c r="Q17" s="126"/>
      <c r="R17" s="126"/>
      <c r="S17" s="126"/>
      <c r="T17" s="126"/>
      <c r="U17" s="126"/>
      <c r="V17" s="126"/>
      <c r="W17" s="126"/>
      <c r="X17" s="126"/>
      <c r="Y17" s="36">
        <v>2.1</v>
      </c>
      <c r="Z17" s="4"/>
      <c r="AA17" s="4" t="s">
        <v>643</v>
      </c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s="5" customFormat="1" ht="24" customHeight="1" x14ac:dyDescent="0.3">
      <c r="A18" s="490">
        <v>2</v>
      </c>
      <c r="B18" s="418" t="s">
        <v>269</v>
      </c>
      <c r="C18" s="515" t="s">
        <v>649</v>
      </c>
      <c r="D18" s="126" t="s">
        <v>45</v>
      </c>
      <c r="E18" s="76" t="s">
        <v>95</v>
      </c>
      <c r="F18" s="126">
        <v>5</v>
      </c>
      <c r="G18" s="126" t="s">
        <v>35</v>
      </c>
      <c r="H18" s="126">
        <v>25</v>
      </c>
      <c r="I18" s="127">
        <v>30</v>
      </c>
      <c r="J18" s="126">
        <v>15</v>
      </c>
      <c r="K18" s="126"/>
      <c r="L18" s="126"/>
      <c r="M18" s="126">
        <v>15</v>
      </c>
      <c r="N18" s="34"/>
      <c r="O18" s="4"/>
      <c r="P18" s="4"/>
      <c r="Q18" s="34"/>
      <c r="R18" s="34"/>
      <c r="S18" s="34"/>
      <c r="T18" s="35"/>
      <c r="U18" s="126"/>
      <c r="V18" s="126"/>
      <c r="W18" s="126"/>
      <c r="X18" s="126"/>
      <c r="Y18" s="36">
        <v>2.1</v>
      </c>
      <c r="Z18" s="4"/>
      <c r="AA18" s="4" t="s">
        <v>462</v>
      </c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</row>
    <row r="19" spans="1:44" s="5" customFormat="1" ht="24" customHeight="1" x14ac:dyDescent="0.3">
      <c r="A19" s="490"/>
      <c r="B19" s="418"/>
      <c r="C19" s="403"/>
      <c r="D19" s="126" t="s">
        <v>45</v>
      </c>
      <c r="E19" s="76" t="s">
        <v>96</v>
      </c>
      <c r="F19" s="126">
        <v>5</v>
      </c>
      <c r="G19" s="126" t="s">
        <v>35</v>
      </c>
      <c r="H19" s="126">
        <v>25</v>
      </c>
      <c r="I19" s="127"/>
      <c r="J19" s="126">
        <v>15</v>
      </c>
      <c r="K19" s="126"/>
      <c r="L19" s="126"/>
      <c r="M19" s="126"/>
      <c r="N19" s="34"/>
      <c r="O19" s="4"/>
      <c r="P19" s="4"/>
      <c r="Q19" s="34"/>
      <c r="R19" s="34"/>
      <c r="S19" s="34"/>
      <c r="T19" s="35"/>
      <c r="U19" s="126"/>
      <c r="V19" s="126"/>
      <c r="W19" s="126"/>
      <c r="X19" s="126"/>
      <c r="Y19" s="36">
        <v>0.6</v>
      </c>
      <c r="Z19" s="4"/>
      <c r="AA19" s="4" t="s">
        <v>462</v>
      </c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</row>
    <row r="20" spans="1:44" s="5" customFormat="1" ht="24" customHeight="1" x14ac:dyDescent="0.3">
      <c r="A20" s="490"/>
      <c r="B20" s="418"/>
      <c r="C20" s="403"/>
      <c r="D20" s="126" t="s">
        <v>45</v>
      </c>
      <c r="E20" s="76" t="s">
        <v>151</v>
      </c>
      <c r="F20" s="126">
        <v>5</v>
      </c>
      <c r="G20" s="126" t="s">
        <v>35</v>
      </c>
      <c r="H20" s="126">
        <v>26</v>
      </c>
      <c r="I20" s="127"/>
      <c r="J20" s="126">
        <v>15</v>
      </c>
      <c r="K20" s="126"/>
      <c r="L20" s="126"/>
      <c r="M20" s="126"/>
      <c r="N20" s="34"/>
      <c r="O20" s="4"/>
      <c r="P20" s="4"/>
      <c r="Q20" s="34"/>
      <c r="R20" s="34"/>
      <c r="S20" s="34"/>
      <c r="T20" s="35"/>
      <c r="U20" s="126"/>
      <c r="V20" s="126"/>
      <c r="W20" s="126"/>
      <c r="X20" s="126"/>
      <c r="Y20" s="36">
        <v>0.6</v>
      </c>
      <c r="Z20" s="4"/>
      <c r="AA20" s="4" t="s">
        <v>462</v>
      </c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</row>
    <row r="21" spans="1:44" s="5" customFormat="1" ht="24" customHeight="1" x14ac:dyDescent="0.3">
      <c r="A21" s="490"/>
      <c r="B21" s="418"/>
      <c r="C21" s="403"/>
      <c r="D21" s="126" t="s">
        <v>45</v>
      </c>
      <c r="E21" s="390" t="s">
        <v>152</v>
      </c>
      <c r="F21" s="390">
        <v>5</v>
      </c>
      <c r="G21" s="390" t="s">
        <v>35</v>
      </c>
      <c r="H21" s="390">
        <v>26</v>
      </c>
      <c r="I21" s="391"/>
      <c r="J21" s="126">
        <v>15</v>
      </c>
      <c r="K21" s="126"/>
      <c r="L21" s="126"/>
      <c r="M21" s="126"/>
      <c r="N21" s="34"/>
      <c r="O21" s="4"/>
      <c r="P21" s="4"/>
      <c r="Q21" s="34"/>
      <c r="R21" s="34"/>
      <c r="S21" s="34"/>
      <c r="T21" s="35"/>
      <c r="U21" s="126"/>
      <c r="V21" s="126"/>
      <c r="W21" s="126"/>
      <c r="X21" s="126"/>
      <c r="Y21" s="36">
        <v>0.6</v>
      </c>
      <c r="Z21" s="4"/>
      <c r="AA21" s="4" t="s">
        <v>462</v>
      </c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</row>
    <row r="22" spans="1:44" s="5" customFormat="1" ht="24" customHeight="1" x14ac:dyDescent="0.3">
      <c r="A22" s="490"/>
      <c r="B22" s="418"/>
      <c r="C22" s="403"/>
      <c r="D22" s="126" t="s">
        <v>45</v>
      </c>
      <c r="E22" s="390" t="s">
        <v>166</v>
      </c>
      <c r="F22" s="390">
        <v>5</v>
      </c>
      <c r="G22" s="390" t="s">
        <v>35</v>
      </c>
      <c r="H22" s="390">
        <v>26</v>
      </c>
      <c r="I22" s="391"/>
      <c r="J22" s="126">
        <v>15</v>
      </c>
      <c r="K22" s="126"/>
      <c r="L22" s="126"/>
      <c r="M22" s="126"/>
      <c r="N22" s="34"/>
      <c r="O22" s="4"/>
      <c r="P22" s="4"/>
      <c r="Q22" s="34"/>
      <c r="R22" s="34"/>
      <c r="S22" s="34"/>
      <c r="T22" s="35"/>
      <c r="U22" s="126"/>
      <c r="V22" s="126"/>
      <c r="W22" s="126"/>
      <c r="X22" s="126"/>
      <c r="Y22" s="36">
        <v>0.6</v>
      </c>
      <c r="Z22" s="4"/>
      <c r="AA22" s="4" t="s">
        <v>462</v>
      </c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</row>
    <row r="23" spans="1:44" s="5" customFormat="1" ht="24" customHeight="1" x14ac:dyDescent="0.2">
      <c r="A23" s="490"/>
      <c r="B23" s="418"/>
      <c r="C23" s="493"/>
      <c r="D23" s="126" t="s">
        <v>170</v>
      </c>
      <c r="E23" s="126" t="s">
        <v>112</v>
      </c>
      <c r="F23" s="126">
        <v>5</v>
      </c>
      <c r="G23" s="126" t="s">
        <v>32</v>
      </c>
      <c r="H23" s="126">
        <v>12</v>
      </c>
      <c r="I23" s="127">
        <v>30</v>
      </c>
      <c r="J23" s="126">
        <v>15</v>
      </c>
      <c r="K23" s="126"/>
      <c r="L23" s="126"/>
      <c r="M23" s="126">
        <v>15</v>
      </c>
      <c r="N23" s="126"/>
      <c r="O23" s="4"/>
      <c r="P23" s="4"/>
      <c r="Q23" s="126"/>
      <c r="R23" s="126"/>
      <c r="S23" s="126"/>
      <c r="T23" s="126"/>
      <c r="U23" s="126"/>
      <c r="V23" s="126"/>
      <c r="W23" s="126"/>
      <c r="X23" s="126"/>
      <c r="Y23" s="36">
        <v>2.1</v>
      </c>
      <c r="Z23" s="4"/>
      <c r="AA23" s="4" t="s">
        <v>463</v>
      </c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</row>
    <row r="24" spans="1:44" ht="22.5" customHeight="1" x14ac:dyDescent="0.2">
      <c r="A24" s="491">
        <v>5</v>
      </c>
      <c r="B24" s="523" t="s">
        <v>126</v>
      </c>
      <c r="C24" s="402" t="s">
        <v>649</v>
      </c>
      <c r="D24" s="126" t="s">
        <v>170</v>
      </c>
      <c r="E24" s="127" t="s">
        <v>83</v>
      </c>
      <c r="F24" s="127">
        <v>5</v>
      </c>
      <c r="G24" s="127" t="s">
        <v>35</v>
      </c>
      <c r="H24" s="126">
        <v>27</v>
      </c>
      <c r="I24" s="127">
        <v>15</v>
      </c>
      <c r="J24" s="126">
        <v>30</v>
      </c>
      <c r="K24" s="126"/>
      <c r="L24" s="126"/>
      <c r="M24" s="126">
        <v>15</v>
      </c>
      <c r="N24" s="126"/>
      <c r="O24" s="5"/>
      <c r="P24" s="1"/>
      <c r="Q24" s="126"/>
      <c r="R24" s="126"/>
      <c r="S24" s="126"/>
      <c r="T24" s="126"/>
      <c r="U24" s="126"/>
      <c r="V24" s="126"/>
      <c r="W24" s="126"/>
      <c r="X24" s="126"/>
      <c r="Y24" s="36">
        <v>2.1</v>
      </c>
      <c r="AA24" s="5" t="s">
        <v>474</v>
      </c>
    </row>
    <row r="25" spans="1:44" ht="22.5" customHeight="1" x14ac:dyDescent="0.2">
      <c r="A25" s="495"/>
      <c r="B25" s="537"/>
      <c r="C25" s="403"/>
      <c r="D25" s="126" t="s">
        <v>170</v>
      </c>
      <c r="E25" s="127" t="s">
        <v>84</v>
      </c>
      <c r="F25" s="127">
        <v>5</v>
      </c>
      <c r="G25" s="127" t="s">
        <v>35</v>
      </c>
      <c r="H25" s="126">
        <v>27</v>
      </c>
      <c r="I25" s="127"/>
      <c r="J25" s="126">
        <v>30</v>
      </c>
      <c r="K25" s="126"/>
      <c r="L25" s="126"/>
      <c r="M25" s="126"/>
      <c r="N25" s="126"/>
      <c r="O25" s="5"/>
      <c r="P25" s="1"/>
      <c r="Q25" s="126"/>
      <c r="R25" s="126"/>
      <c r="S25" s="126"/>
      <c r="T25" s="126"/>
      <c r="U25" s="126"/>
      <c r="V25" s="126"/>
      <c r="W25" s="126"/>
      <c r="X25" s="126"/>
      <c r="Y25" s="36">
        <v>1.1000000000000001</v>
      </c>
      <c r="AA25" s="5" t="s">
        <v>474</v>
      </c>
    </row>
    <row r="26" spans="1:44" ht="22.5" customHeight="1" x14ac:dyDescent="0.2">
      <c r="A26" s="495"/>
      <c r="B26" s="537"/>
      <c r="C26" s="403"/>
      <c r="D26" s="126" t="s">
        <v>170</v>
      </c>
      <c r="E26" s="127" t="s">
        <v>147</v>
      </c>
      <c r="F26" s="127">
        <v>5</v>
      </c>
      <c r="G26" s="127" t="s">
        <v>35</v>
      </c>
      <c r="H26" s="126">
        <v>27</v>
      </c>
      <c r="I26" s="127"/>
      <c r="J26" s="126">
        <v>30</v>
      </c>
      <c r="K26" s="126"/>
      <c r="L26" s="126"/>
      <c r="M26" s="126"/>
      <c r="N26" s="126"/>
      <c r="O26" s="5"/>
      <c r="P26" s="1"/>
      <c r="Q26" s="126"/>
      <c r="R26" s="126"/>
      <c r="S26" s="126"/>
      <c r="T26" s="126"/>
      <c r="U26" s="126"/>
      <c r="V26" s="126"/>
      <c r="W26" s="126"/>
      <c r="X26" s="126"/>
      <c r="Y26" s="36">
        <v>1.1000000000000001</v>
      </c>
      <c r="AA26" s="5" t="s">
        <v>474</v>
      </c>
    </row>
    <row r="27" spans="1:44" ht="22.5" customHeight="1" x14ac:dyDescent="0.2">
      <c r="A27" s="495"/>
      <c r="B27" s="537"/>
      <c r="C27" s="403"/>
      <c r="D27" s="126" t="s">
        <v>170</v>
      </c>
      <c r="E27" s="127" t="s">
        <v>174</v>
      </c>
      <c r="F27" s="127">
        <v>5</v>
      </c>
      <c r="G27" s="127" t="s">
        <v>35</v>
      </c>
      <c r="H27" s="126">
        <v>27</v>
      </c>
      <c r="I27" s="126"/>
      <c r="J27" s="126">
        <v>30</v>
      </c>
      <c r="K27" s="126"/>
      <c r="L27" s="126"/>
      <c r="M27" s="126"/>
      <c r="N27" s="126"/>
      <c r="O27" s="5"/>
      <c r="P27" s="1"/>
      <c r="Q27" s="126"/>
      <c r="R27" s="126"/>
      <c r="S27" s="126"/>
      <c r="T27" s="126"/>
      <c r="U27" s="126"/>
      <c r="V27" s="126"/>
      <c r="W27" s="126"/>
      <c r="X27" s="126"/>
      <c r="Y27" s="36">
        <v>1.1000000000000001</v>
      </c>
      <c r="AA27" s="5" t="s">
        <v>474</v>
      </c>
    </row>
    <row r="28" spans="1:44" ht="22.5" customHeight="1" x14ac:dyDescent="0.2">
      <c r="A28" s="495"/>
      <c r="B28" s="537"/>
      <c r="C28" s="403"/>
      <c r="D28" s="126" t="s">
        <v>170</v>
      </c>
      <c r="E28" s="127" t="s">
        <v>175</v>
      </c>
      <c r="F28" s="127">
        <v>5</v>
      </c>
      <c r="G28" s="127" t="s">
        <v>35</v>
      </c>
      <c r="H28" s="126">
        <v>27</v>
      </c>
      <c r="I28" s="127">
        <v>15</v>
      </c>
      <c r="J28" s="126">
        <v>30</v>
      </c>
      <c r="K28" s="126"/>
      <c r="L28" s="126"/>
      <c r="M28" s="126">
        <v>15</v>
      </c>
      <c r="N28" s="126"/>
      <c r="O28" s="5"/>
      <c r="P28" s="1"/>
      <c r="Q28" s="126"/>
      <c r="R28" s="126"/>
      <c r="S28" s="126"/>
      <c r="T28" s="126"/>
      <c r="U28" s="126"/>
      <c r="V28" s="126"/>
      <c r="W28" s="126"/>
      <c r="X28" s="126"/>
      <c r="Y28" s="36">
        <v>2.1</v>
      </c>
      <c r="AA28" s="5" t="s">
        <v>465</v>
      </c>
    </row>
    <row r="29" spans="1:44" ht="22.5" customHeight="1" x14ac:dyDescent="0.2">
      <c r="A29" s="495"/>
      <c r="B29" s="537"/>
      <c r="C29" s="403"/>
      <c r="D29" s="126" t="s">
        <v>170</v>
      </c>
      <c r="E29" s="127" t="s">
        <v>235</v>
      </c>
      <c r="F29" s="127">
        <v>5</v>
      </c>
      <c r="G29" s="127" t="s">
        <v>35</v>
      </c>
      <c r="H29" s="126">
        <v>27</v>
      </c>
      <c r="I29" s="127"/>
      <c r="J29" s="126">
        <v>30</v>
      </c>
      <c r="K29" s="126"/>
      <c r="L29" s="126"/>
      <c r="M29" s="126"/>
      <c r="N29" s="126"/>
      <c r="O29" s="5"/>
      <c r="P29" s="1"/>
      <c r="Q29" s="126"/>
      <c r="R29" s="126"/>
      <c r="S29" s="126"/>
      <c r="T29" s="126"/>
      <c r="U29" s="126"/>
      <c r="V29" s="126"/>
      <c r="W29" s="126"/>
      <c r="X29" s="126"/>
      <c r="Y29" s="36">
        <v>1.1000000000000001</v>
      </c>
      <c r="AA29" s="5" t="s">
        <v>465</v>
      </c>
    </row>
    <row r="30" spans="1:44" ht="22.5" customHeight="1" x14ac:dyDescent="0.2">
      <c r="A30" s="495"/>
      <c r="B30" s="537"/>
      <c r="C30" s="403"/>
      <c r="D30" s="126" t="s">
        <v>170</v>
      </c>
      <c r="E30" s="127" t="s">
        <v>113</v>
      </c>
      <c r="F30" s="127">
        <v>5</v>
      </c>
      <c r="G30" s="127" t="s">
        <v>32</v>
      </c>
      <c r="H30" s="127">
        <v>23</v>
      </c>
      <c r="I30" s="127">
        <v>15</v>
      </c>
      <c r="J30" s="126">
        <v>30</v>
      </c>
      <c r="K30" s="126"/>
      <c r="L30" s="126"/>
      <c r="M30" s="126">
        <v>15</v>
      </c>
      <c r="N30" s="126"/>
      <c r="O30" s="196"/>
      <c r="P30" s="1"/>
      <c r="Q30" s="126"/>
      <c r="R30" s="126"/>
      <c r="S30" s="126"/>
      <c r="T30" s="126"/>
      <c r="U30" s="126"/>
      <c r="V30" s="126"/>
      <c r="W30" s="126"/>
      <c r="X30" s="126"/>
      <c r="Y30" s="36">
        <v>2.1</v>
      </c>
      <c r="AA30" s="196" t="s">
        <v>534</v>
      </c>
    </row>
    <row r="31" spans="1:44" ht="22.5" customHeight="1" x14ac:dyDescent="0.2">
      <c r="A31" s="495"/>
      <c r="B31" s="537"/>
      <c r="C31" s="493"/>
      <c r="D31" s="126" t="s">
        <v>170</v>
      </c>
      <c r="E31" s="127" t="s">
        <v>201</v>
      </c>
      <c r="F31" s="127">
        <v>5</v>
      </c>
      <c r="G31" s="127" t="s">
        <v>32</v>
      </c>
      <c r="H31" s="127">
        <v>23</v>
      </c>
      <c r="I31" s="127"/>
      <c r="J31" s="126">
        <v>30</v>
      </c>
      <c r="K31" s="126"/>
      <c r="L31" s="126"/>
      <c r="M31" s="126"/>
      <c r="N31" s="126"/>
      <c r="O31" s="5"/>
      <c r="P31" s="1"/>
      <c r="Q31" s="126"/>
      <c r="R31" s="126"/>
      <c r="S31" s="126"/>
      <c r="T31" s="126"/>
      <c r="U31" s="126"/>
      <c r="V31" s="126"/>
      <c r="W31" s="126"/>
      <c r="X31" s="126"/>
      <c r="Y31" s="36">
        <v>1.1000000000000001</v>
      </c>
      <c r="AA31" s="5" t="s">
        <v>479</v>
      </c>
    </row>
    <row r="32" spans="1:44" ht="25.5" customHeight="1" x14ac:dyDescent="0.2">
      <c r="A32" s="491">
        <v>6</v>
      </c>
      <c r="B32" s="523" t="s">
        <v>127</v>
      </c>
      <c r="C32" s="402" t="s">
        <v>649</v>
      </c>
      <c r="D32" s="126" t="s">
        <v>170</v>
      </c>
      <c r="E32" s="127" t="s">
        <v>83</v>
      </c>
      <c r="F32" s="127">
        <v>5</v>
      </c>
      <c r="G32" s="127" t="s">
        <v>35</v>
      </c>
      <c r="H32" s="126">
        <v>27</v>
      </c>
      <c r="I32" s="127">
        <v>15</v>
      </c>
      <c r="J32" s="126">
        <v>30</v>
      </c>
      <c r="K32" s="126"/>
      <c r="L32" s="126"/>
      <c r="M32" s="126">
        <v>15</v>
      </c>
      <c r="N32" s="126"/>
      <c r="O32" s="5"/>
      <c r="P32" s="1"/>
      <c r="Q32" s="126"/>
      <c r="R32" s="126"/>
      <c r="S32" s="126"/>
      <c r="T32" s="126"/>
      <c r="U32" s="126"/>
      <c r="V32" s="126"/>
      <c r="W32" s="126"/>
      <c r="X32" s="126"/>
      <c r="Y32" s="36">
        <v>2.1</v>
      </c>
      <c r="AA32" s="5" t="s">
        <v>462</v>
      </c>
    </row>
    <row r="33" spans="1:27" ht="24" customHeight="1" x14ac:dyDescent="0.2">
      <c r="A33" s="495"/>
      <c r="B33" s="537"/>
      <c r="C33" s="403"/>
      <c r="D33" s="126" t="s">
        <v>170</v>
      </c>
      <c r="E33" s="127" t="s">
        <v>84</v>
      </c>
      <c r="F33" s="127">
        <v>5</v>
      </c>
      <c r="G33" s="127" t="s">
        <v>35</v>
      </c>
      <c r="H33" s="126">
        <v>27</v>
      </c>
      <c r="I33" s="127"/>
      <c r="J33" s="126">
        <v>30</v>
      </c>
      <c r="K33" s="126"/>
      <c r="L33" s="126"/>
      <c r="M33" s="126"/>
      <c r="N33" s="126"/>
      <c r="O33" s="5"/>
      <c r="P33" s="1"/>
      <c r="Q33" s="126"/>
      <c r="R33" s="126"/>
      <c r="S33" s="126"/>
      <c r="T33" s="126"/>
      <c r="U33" s="126"/>
      <c r="V33" s="126"/>
      <c r="W33" s="126"/>
      <c r="X33" s="126"/>
      <c r="Y33" s="36">
        <v>1.1000000000000001</v>
      </c>
      <c r="AA33" s="5" t="s">
        <v>462</v>
      </c>
    </row>
    <row r="34" spans="1:27" ht="24" customHeight="1" x14ac:dyDescent="0.2">
      <c r="A34" s="495"/>
      <c r="B34" s="537"/>
      <c r="C34" s="403"/>
      <c r="D34" s="126" t="s">
        <v>170</v>
      </c>
      <c r="E34" s="127" t="s">
        <v>147</v>
      </c>
      <c r="F34" s="127">
        <v>5</v>
      </c>
      <c r="G34" s="127" t="s">
        <v>35</v>
      </c>
      <c r="H34" s="126">
        <v>27</v>
      </c>
      <c r="I34" s="127"/>
      <c r="J34" s="126">
        <v>30</v>
      </c>
      <c r="K34" s="126"/>
      <c r="L34" s="126"/>
      <c r="M34" s="126"/>
      <c r="N34" s="126"/>
      <c r="O34" s="5"/>
      <c r="P34" s="1"/>
      <c r="Q34" s="126"/>
      <c r="R34" s="126"/>
      <c r="S34" s="126"/>
      <c r="T34" s="126"/>
      <c r="U34" s="126"/>
      <c r="V34" s="126"/>
      <c r="W34" s="126"/>
      <c r="X34" s="126"/>
      <c r="Y34" s="36">
        <v>1.1000000000000001</v>
      </c>
      <c r="AA34" s="5" t="s">
        <v>462</v>
      </c>
    </row>
    <row r="35" spans="1:27" ht="22.5" customHeight="1" x14ac:dyDescent="0.2">
      <c r="A35" s="495"/>
      <c r="B35" s="537"/>
      <c r="C35" s="403"/>
      <c r="D35" s="126" t="s">
        <v>170</v>
      </c>
      <c r="E35" s="127" t="s">
        <v>174</v>
      </c>
      <c r="F35" s="127">
        <v>5</v>
      </c>
      <c r="G35" s="127" t="s">
        <v>35</v>
      </c>
      <c r="H35" s="126">
        <v>27</v>
      </c>
      <c r="I35" s="126"/>
      <c r="J35" s="126">
        <v>30</v>
      </c>
      <c r="K35" s="126"/>
      <c r="L35" s="126"/>
      <c r="M35" s="126"/>
      <c r="N35" s="126"/>
      <c r="O35" s="5"/>
      <c r="P35" s="1"/>
      <c r="Q35" s="126"/>
      <c r="R35" s="126"/>
      <c r="S35" s="126"/>
      <c r="T35" s="126"/>
      <c r="U35" s="126"/>
      <c r="V35" s="126"/>
      <c r="W35" s="126"/>
      <c r="X35" s="126"/>
      <c r="Y35" s="36">
        <v>1.1000000000000001</v>
      </c>
      <c r="AA35" s="5" t="s">
        <v>477</v>
      </c>
    </row>
    <row r="36" spans="1:27" ht="22.5" customHeight="1" x14ac:dyDescent="0.2">
      <c r="A36" s="495"/>
      <c r="B36" s="537"/>
      <c r="C36" s="403"/>
      <c r="D36" s="126" t="s">
        <v>170</v>
      </c>
      <c r="E36" s="127" t="s">
        <v>175</v>
      </c>
      <c r="F36" s="127">
        <v>5</v>
      </c>
      <c r="G36" s="127" t="s">
        <v>35</v>
      </c>
      <c r="H36" s="126">
        <v>27</v>
      </c>
      <c r="I36" s="127">
        <v>15</v>
      </c>
      <c r="J36" s="126">
        <v>30</v>
      </c>
      <c r="K36" s="126"/>
      <c r="L36" s="126"/>
      <c r="M36" s="126">
        <v>15</v>
      </c>
      <c r="N36" s="126"/>
      <c r="O36" s="5"/>
      <c r="P36" s="1"/>
      <c r="Q36" s="126"/>
      <c r="R36" s="126"/>
      <c r="S36" s="126"/>
      <c r="T36" s="126"/>
      <c r="U36" s="126"/>
      <c r="V36" s="126"/>
      <c r="W36" s="126"/>
      <c r="X36" s="126"/>
      <c r="Y36" s="36">
        <v>2.1</v>
      </c>
      <c r="AA36" s="5" t="s">
        <v>477</v>
      </c>
    </row>
    <row r="37" spans="1:27" ht="22.5" customHeight="1" x14ac:dyDescent="0.2">
      <c r="A37" s="495"/>
      <c r="B37" s="537"/>
      <c r="C37" s="403"/>
      <c r="D37" s="126" t="s">
        <v>170</v>
      </c>
      <c r="E37" s="127" t="s">
        <v>235</v>
      </c>
      <c r="F37" s="127">
        <v>5</v>
      </c>
      <c r="G37" s="127" t="s">
        <v>35</v>
      </c>
      <c r="H37" s="126">
        <v>27</v>
      </c>
      <c r="I37" s="127"/>
      <c r="J37" s="126">
        <v>30</v>
      </c>
      <c r="K37" s="126"/>
      <c r="L37" s="126"/>
      <c r="M37" s="126"/>
      <c r="N37" s="126"/>
      <c r="O37" s="5"/>
      <c r="P37" s="1"/>
      <c r="Q37" s="126"/>
      <c r="R37" s="126"/>
      <c r="S37" s="126"/>
      <c r="T37" s="126"/>
      <c r="U37" s="126"/>
      <c r="V37" s="126"/>
      <c r="W37" s="126"/>
      <c r="X37" s="126"/>
      <c r="Y37" s="36">
        <v>1.1000000000000001</v>
      </c>
      <c r="AA37" s="5" t="s">
        <v>477</v>
      </c>
    </row>
    <row r="38" spans="1:27" ht="22.5" customHeight="1" x14ac:dyDescent="0.2">
      <c r="A38" s="495"/>
      <c r="B38" s="537"/>
      <c r="C38" s="403"/>
      <c r="D38" s="126" t="s">
        <v>170</v>
      </c>
      <c r="E38" s="127" t="s">
        <v>113</v>
      </c>
      <c r="F38" s="127">
        <v>5</v>
      </c>
      <c r="G38" s="127" t="s">
        <v>32</v>
      </c>
      <c r="H38" s="127">
        <v>23</v>
      </c>
      <c r="I38" s="127">
        <v>15</v>
      </c>
      <c r="J38" s="126">
        <v>30</v>
      </c>
      <c r="K38" s="126"/>
      <c r="L38" s="126"/>
      <c r="M38" s="126">
        <v>15</v>
      </c>
      <c r="N38" s="126"/>
      <c r="O38" s="5"/>
      <c r="P38" s="1"/>
      <c r="Q38" s="126"/>
      <c r="R38" s="126"/>
      <c r="S38" s="126"/>
      <c r="T38" s="126"/>
      <c r="U38" s="126"/>
      <c r="V38" s="126"/>
      <c r="W38" s="126"/>
      <c r="X38" s="126"/>
      <c r="Y38" s="36">
        <v>2.1</v>
      </c>
      <c r="AA38" s="5" t="s">
        <v>467</v>
      </c>
    </row>
    <row r="39" spans="1:27" ht="22.5" customHeight="1" x14ac:dyDescent="0.2">
      <c r="A39" s="495"/>
      <c r="B39" s="537"/>
      <c r="C39" s="493"/>
      <c r="D39" s="126" t="s">
        <v>170</v>
      </c>
      <c r="E39" s="127" t="s">
        <v>201</v>
      </c>
      <c r="F39" s="127">
        <v>5</v>
      </c>
      <c r="G39" s="127" t="s">
        <v>32</v>
      </c>
      <c r="H39" s="127">
        <v>23</v>
      </c>
      <c r="I39" s="127"/>
      <c r="J39" s="126">
        <v>30</v>
      </c>
      <c r="K39" s="126"/>
      <c r="L39" s="126"/>
      <c r="M39" s="126"/>
      <c r="N39" s="126"/>
      <c r="O39" s="5"/>
      <c r="P39" s="1"/>
      <c r="Q39" s="126"/>
      <c r="R39" s="126"/>
      <c r="S39" s="126"/>
      <c r="T39" s="126"/>
      <c r="U39" s="126"/>
      <c r="V39" s="126"/>
      <c r="W39" s="126"/>
      <c r="X39" s="126"/>
      <c r="Y39" s="36">
        <v>1.1000000000000001</v>
      </c>
      <c r="AA39" s="5" t="s">
        <v>467</v>
      </c>
    </row>
    <row r="40" spans="1:27" ht="24" customHeight="1" x14ac:dyDescent="0.2">
      <c r="A40" s="490">
        <v>7</v>
      </c>
      <c r="B40" s="473" t="s">
        <v>236</v>
      </c>
      <c r="C40" s="402" t="s">
        <v>649</v>
      </c>
      <c r="D40" s="126" t="s">
        <v>170</v>
      </c>
      <c r="E40" s="391" t="s">
        <v>83</v>
      </c>
      <c r="F40" s="391">
        <v>5</v>
      </c>
      <c r="G40" s="391" t="s">
        <v>35</v>
      </c>
      <c r="H40" s="390">
        <v>27</v>
      </c>
      <c r="I40" s="391">
        <v>15</v>
      </c>
      <c r="J40" s="390">
        <v>30</v>
      </c>
      <c r="K40" s="126"/>
      <c r="L40" s="126"/>
      <c r="M40" s="126">
        <v>15</v>
      </c>
      <c r="N40" s="126"/>
      <c r="O40" s="4"/>
      <c r="P40" s="1"/>
      <c r="Q40" s="126"/>
      <c r="R40" s="126"/>
      <c r="S40" s="126"/>
      <c r="T40" s="126"/>
      <c r="U40" s="126"/>
      <c r="V40" s="126"/>
      <c r="W40" s="126"/>
      <c r="X40" s="126"/>
      <c r="Y40" s="36">
        <v>2.1</v>
      </c>
      <c r="AA40" s="4" t="s">
        <v>690</v>
      </c>
    </row>
    <row r="41" spans="1:27" x14ac:dyDescent="0.2">
      <c r="A41" s="490"/>
      <c r="B41" s="474"/>
      <c r="C41" s="403"/>
      <c r="D41" s="126" t="s">
        <v>170</v>
      </c>
      <c r="E41" s="127" t="s">
        <v>84</v>
      </c>
      <c r="F41" s="127">
        <v>5</v>
      </c>
      <c r="G41" s="127" t="s">
        <v>35</v>
      </c>
      <c r="H41" s="126">
        <v>27</v>
      </c>
      <c r="I41" s="127"/>
      <c r="J41" s="126">
        <v>30</v>
      </c>
      <c r="K41" s="126"/>
      <c r="L41" s="126"/>
      <c r="M41" s="126"/>
      <c r="N41" s="126"/>
      <c r="O41" s="5"/>
      <c r="P41" s="1"/>
      <c r="Q41" s="126"/>
      <c r="R41" s="126"/>
      <c r="S41" s="126"/>
      <c r="T41" s="126"/>
      <c r="U41" s="126"/>
      <c r="V41" s="126"/>
      <c r="W41" s="126"/>
      <c r="X41" s="126"/>
      <c r="Y41" s="36">
        <v>1.1000000000000001</v>
      </c>
      <c r="AA41" s="5" t="s">
        <v>478</v>
      </c>
    </row>
    <row r="42" spans="1:27" x14ac:dyDescent="0.2">
      <c r="A42" s="490"/>
      <c r="B42" s="474"/>
      <c r="C42" s="403"/>
      <c r="D42" s="126" t="s">
        <v>170</v>
      </c>
      <c r="E42" s="127" t="s">
        <v>147</v>
      </c>
      <c r="F42" s="127">
        <v>5</v>
      </c>
      <c r="G42" s="127" t="s">
        <v>35</v>
      </c>
      <c r="H42" s="126">
        <v>27</v>
      </c>
      <c r="I42" s="127"/>
      <c r="J42" s="126">
        <v>30</v>
      </c>
      <c r="K42" s="126"/>
      <c r="L42" s="126"/>
      <c r="M42" s="126"/>
      <c r="N42" s="126"/>
      <c r="O42" s="5"/>
      <c r="P42" s="1"/>
      <c r="Q42" s="126"/>
      <c r="R42" s="126"/>
      <c r="S42" s="126"/>
      <c r="T42" s="126"/>
      <c r="U42" s="126"/>
      <c r="V42" s="126"/>
      <c r="W42" s="126"/>
      <c r="X42" s="126"/>
      <c r="Y42" s="36">
        <v>1.1000000000000001</v>
      </c>
      <c r="AA42" s="5" t="s">
        <v>478</v>
      </c>
    </row>
    <row r="43" spans="1:27" x14ac:dyDescent="0.2">
      <c r="A43" s="490"/>
      <c r="B43" s="474"/>
      <c r="C43" s="403"/>
      <c r="D43" s="126" t="s">
        <v>170</v>
      </c>
      <c r="E43" s="127" t="s">
        <v>174</v>
      </c>
      <c r="F43" s="127">
        <v>5</v>
      </c>
      <c r="G43" s="127" t="s">
        <v>35</v>
      </c>
      <c r="H43" s="126">
        <v>27</v>
      </c>
      <c r="I43" s="126"/>
      <c r="J43" s="126">
        <v>30</v>
      </c>
      <c r="K43" s="126"/>
      <c r="L43" s="126"/>
      <c r="M43" s="126"/>
      <c r="N43" s="126"/>
      <c r="O43" s="5"/>
      <c r="P43" s="1"/>
      <c r="Q43" s="126"/>
      <c r="R43" s="126"/>
      <c r="S43" s="126"/>
      <c r="T43" s="126"/>
      <c r="U43" s="126"/>
      <c r="V43" s="126"/>
      <c r="W43" s="126"/>
      <c r="X43" s="126"/>
      <c r="Y43" s="36">
        <v>1.1000000000000001</v>
      </c>
      <c r="AA43" s="5" t="s">
        <v>475</v>
      </c>
    </row>
    <row r="44" spans="1:27" x14ac:dyDescent="0.2">
      <c r="A44" s="490"/>
      <c r="B44" s="474"/>
      <c r="C44" s="403"/>
      <c r="D44" s="126" t="s">
        <v>170</v>
      </c>
      <c r="E44" s="127" t="s">
        <v>175</v>
      </c>
      <c r="F44" s="127">
        <v>5</v>
      </c>
      <c r="G44" s="127" t="s">
        <v>35</v>
      </c>
      <c r="H44" s="126">
        <v>27</v>
      </c>
      <c r="I44" s="127">
        <v>15</v>
      </c>
      <c r="J44" s="126">
        <v>30</v>
      </c>
      <c r="K44" s="126"/>
      <c r="L44" s="126"/>
      <c r="M44" s="126">
        <v>15</v>
      </c>
      <c r="N44" s="126"/>
      <c r="O44" s="5"/>
      <c r="P44" s="1"/>
      <c r="Q44" s="126"/>
      <c r="R44" s="126"/>
      <c r="S44" s="126"/>
      <c r="T44" s="126"/>
      <c r="U44" s="126"/>
      <c r="V44" s="126"/>
      <c r="W44" s="126"/>
      <c r="X44" s="126"/>
      <c r="Y44" s="36">
        <v>2.1</v>
      </c>
      <c r="AA44" s="5" t="s">
        <v>475</v>
      </c>
    </row>
    <row r="45" spans="1:27" x14ac:dyDescent="0.2">
      <c r="A45" s="490"/>
      <c r="B45" s="474"/>
      <c r="C45" s="403"/>
      <c r="D45" s="126" t="s">
        <v>170</v>
      </c>
      <c r="E45" s="127" t="s">
        <v>235</v>
      </c>
      <c r="F45" s="127">
        <v>5</v>
      </c>
      <c r="G45" s="127" t="s">
        <v>35</v>
      </c>
      <c r="H45" s="126">
        <v>27</v>
      </c>
      <c r="I45" s="127"/>
      <c r="J45" s="126">
        <v>30</v>
      </c>
      <c r="K45" s="126"/>
      <c r="L45" s="126"/>
      <c r="M45" s="126"/>
      <c r="N45" s="126"/>
      <c r="O45" s="5"/>
      <c r="P45" s="1"/>
      <c r="Q45" s="126"/>
      <c r="R45" s="126"/>
      <c r="S45" s="126"/>
      <c r="T45" s="126"/>
      <c r="U45" s="126"/>
      <c r="V45" s="126"/>
      <c r="W45" s="126"/>
      <c r="X45" s="126"/>
      <c r="Y45" s="36">
        <v>1.1000000000000001</v>
      </c>
      <c r="AA45" s="5" t="s">
        <v>475</v>
      </c>
    </row>
    <row r="46" spans="1:27" x14ac:dyDescent="0.2">
      <c r="A46" s="490"/>
      <c r="B46" s="474"/>
      <c r="C46" s="403"/>
      <c r="D46" s="126" t="s">
        <v>170</v>
      </c>
      <c r="E46" s="391" t="s">
        <v>113</v>
      </c>
      <c r="F46" s="127">
        <v>5</v>
      </c>
      <c r="G46" s="127" t="s">
        <v>32</v>
      </c>
      <c r="H46" s="127">
        <v>23</v>
      </c>
      <c r="I46" s="127">
        <v>15</v>
      </c>
      <c r="J46" s="126">
        <v>30</v>
      </c>
      <c r="K46" s="126"/>
      <c r="L46" s="126"/>
      <c r="M46" s="126">
        <v>15</v>
      </c>
      <c r="N46" s="126"/>
      <c r="O46" s="196"/>
      <c r="P46" s="1"/>
      <c r="Q46" s="126"/>
      <c r="R46" s="126"/>
      <c r="S46" s="126"/>
      <c r="T46" s="126"/>
      <c r="U46" s="126"/>
      <c r="V46" s="126"/>
      <c r="W46" s="126"/>
      <c r="X46" s="126"/>
      <c r="Y46" s="36">
        <v>2.1</v>
      </c>
      <c r="AA46" s="5" t="s">
        <v>490</v>
      </c>
    </row>
    <row r="47" spans="1:27" x14ac:dyDescent="0.2">
      <c r="A47" s="490"/>
      <c r="B47" s="474"/>
      <c r="C47" s="493"/>
      <c r="D47" s="126" t="s">
        <v>170</v>
      </c>
      <c r="E47" s="391" t="s">
        <v>201</v>
      </c>
      <c r="F47" s="127">
        <v>5</v>
      </c>
      <c r="G47" s="127" t="s">
        <v>32</v>
      </c>
      <c r="H47" s="127">
        <v>23</v>
      </c>
      <c r="I47" s="127"/>
      <c r="J47" s="126">
        <v>30</v>
      </c>
      <c r="K47" s="126"/>
      <c r="L47" s="126"/>
      <c r="M47" s="126"/>
      <c r="N47" s="126"/>
      <c r="O47" s="5"/>
      <c r="P47" s="1"/>
      <c r="Q47" s="126"/>
      <c r="R47" s="126"/>
      <c r="S47" s="126"/>
      <c r="T47" s="126"/>
      <c r="U47" s="126"/>
      <c r="V47" s="126"/>
      <c r="W47" s="126"/>
      <c r="X47" s="126"/>
      <c r="Y47" s="36">
        <v>1.1000000000000001</v>
      </c>
      <c r="AA47" s="5" t="s">
        <v>479</v>
      </c>
    </row>
    <row r="48" spans="1:27" ht="21.75" customHeight="1" x14ac:dyDescent="0.2">
      <c r="A48" s="491">
        <v>10</v>
      </c>
      <c r="B48" s="523" t="s">
        <v>197</v>
      </c>
      <c r="C48" s="402" t="s">
        <v>649</v>
      </c>
      <c r="D48" s="126" t="s">
        <v>170</v>
      </c>
      <c r="E48" s="76" t="s">
        <v>83</v>
      </c>
      <c r="F48" s="126">
        <v>5</v>
      </c>
      <c r="G48" s="126" t="s">
        <v>35</v>
      </c>
      <c r="H48" s="126">
        <v>27</v>
      </c>
      <c r="I48" s="127">
        <v>15</v>
      </c>
      <c r="J48" s="126">
        <v>30</v>
      </c>
      <c r="K48" s="126"/>
      <c r="L48" s="126"/>
      <c r="M48" s="126">
        <v>15</v>
      </c>
      <c r="N48" s="126"/>
      <c r="O48" s="5"/>
      <c r="P48" s="1"/>
      <c r="Q48" s="126"/>
      <c r="R48" s="126"/>
      <c r="S48" s="126"/>
      <c r="T48" s="126"/>
      <c r="U48" s="126"/>
      <c r="V48" s="126"/>
      <c r="W48" s="126"/>
      <c r="X48" s="126"/>
      <c r="Y48" s="36">
        <v>2.1</v>
      </c>
      <c r="AA48" s="5" t="s">
        <v>464</v>
      </c>
    </row>
    <row r="49" spans="1:27" ht="21.75" customHeight="1" x14ac:dyDescent="0.2">
      <c r="A49" s="495"/>
      <c r="B49" s="537"/>
      <c r="C49" s="403"/>
      <c r="D49" s="126" t="s">
        <v>170</v>
      </c>
      <c r="E49" s="76" t="s">
        <v>84</v>
      </c>
      <c r="F49" s="126">
        <v>5</v>
      </c>
      <c r="G49" s="126" t="s">
        <v>35</v>
      </c>
      <c r="H49" s="126">
        <v>27</v>
      </c>
      <c r="I49" s="127"/>
      <c r="J49" s="126">
        <v>30</v>
      </c>
      <c r="K49" s="126"/>
      <c r="L49" s="126"/>
      <c r="M49" s="126"/>
      <c r="N49" s="126"/>
      <c r="O49" s="5"/>
      <c r="P49" s="1"/>
      <c r="Q49" s="126"/>
      <c r="R49" s="126"/>
      <c r="S49" s="126"/>
      <c r="T49" s="126"/>
      <c r="U49" s="126"/>
      <c r="V49" s="126"/>
      <c r="W49" s="126"/>
      <c r="X49" s="126"/>
      <c r="Y49" s="36">
        <v>1.1000000000000001</v>
      </c>
      <c r="AA49" s="5" t="s">
        <v>464</v>
      </c>
    </row>
    <row r="50" spans="1:27" ht="21.75" customHeight="1" x14ac:dyDescent="0.2">
      <c r="A50" s="495"/>
      <c r="B50" s="537"/>
      <c r="C50" s="403"/>
      <c r="D50" s="126" t="s">
        <v>170</v>
      </c>
      <c r="E50" s="126" t="s">
        <v>147</v>
      </c>
      <c r="F50" s="126">
        <v>5</v>
      </c>
      <c r="G50" s="126" t="s">
        <v>35</v>
      </c>
      <c r="H50" s="126">
        <v>27</v>
      </c>
      <c r="I50" s="127"/>
      <c r="J50" s="126">
        <v>30</v>
      </c>
      <c r="K50" s="126"/>
      <c r="L50" s="126"/>
      <c r="M50" s="126"/>
      <c r="N50" s="126"/>
      <c r="O50" s="5"/>
      <c r="P50" s="1"/>
      <c r="Q50" s="126"/>
      <c r="R50" s="126"/>
      <c r="S50" s="126"/>
      <c r="T50" s="126"/>
      <c r="U50" s="126"/>
      <c r="V50" s="126"/>
      <c r="W50" s="126"/>
      <c r="X50" s="126"/>
      <c r="Y50" s="36">
        <v>1.1000000000000001</v>
      </c>
      <c r="AA50" s="15" t="s">
        <v>462</v>
      </c>
    </row>
    <row r="51" spans="1:27" ht="21.75" customHeight="1" x14ac:dyDescent="0.2">
      <c r="A51" s="495"/>
      <c r="B51" s="537"/>
      <c r="C51" s="403"/>
      <c r="D51" s="126" t="s">
        <v>170</v>
      </c>
      <c r="E51" s="126" t="s">
        <v>174</v>
      </c>
      <c r="F51" s="126">
        <v>5</v>
      </c>
      <c r="G51" s="126" t="s">
        <v>35</v>
      </c>
      <c r="H51" s="126">
        <v>27</v>
      </c>
      <c r="I51" s="127"/>
      <c r="J51" s="126">
        <v>30</v>
      </c>
      <c r="K51" s="126"/>
      <c r="L51" s="126"/>
      <c r="M51" s="126"/>
      <c r="N51" s="126"/>
      <c r="O51" s="5"/>
      <c r="P51" s="1"/>
      <c r="Q51" s="126"/>
      <c r="R51" s="126"/>
      <c r="S51" s="126"/>
      <c r="T51" s="126"/>
      <c r="U51" s="126"/>
      <c r="V51" s="126"/>
      <c r="W51" s="126"/>
      <c r="X51" s="126"/>
      <c r="Y51" s="36">
        <v>1.1000000000000001</v>
      </c>
      <c r="AA51" s="5" t="s">
        <v>476</v>
      </c>
    </row>
    <row r="52" spans="1:27" ht="21.75" customHeight="1" x14ac:dyDescent="0.2">
      <c r="A52" s="495"/>
      <c r="B52" s="537"/>
      <c r="C52" s="403"/>
      <c r="D52" s="126" t="s">
        <v>170</v>
      </c>
      <c r="E52" s="126" t="s">
        <v>175</v>
      </c>
      <c r="F52" s="126">
        <v>5</v>
      </c>
      <c r="G52" s="126" t="s">
        <v>35</v>
      </c>
      <c r="H52" s="126">
        <v>27</v>
      </c>
      <c r="I52" s="126">
        <v>15</v>
      </c>
      <c r="J52" s="126">
        <v>30</v>
      </c>
      <c r="K52" s="126"/>
      <c r="L52" s="126"/>
      <c r="M52" s="126">
        <v>15</v>
      </c>
      <c r="N52" s="126"/>
      <c r="O52" s="5"/>
      <c r="P52" s="1"/>
      <c r="Q52" s="126"/>
      <c r="R52" s="126"/>
      <c r="S52" s="126"/>
      <c r="T52" s="126"/>
      <c r="U52" s="126"/>
      <c r="V52" s="126"/>
      <c r="W52" s="126"/>
      <c r="X52" s="126"/>
      <c r="Y52" s="36">
        <v>2.1</v>
      </c>
      <c r="AA52" s="5" t="s">
        <v>476</v>
      </c>
    </row>
    <row r="53" spans="1:27" ht="21.75" customHeight="1" x14ac:dyDescent="0.2">
      <c r="A53" s="495"/>
      <c r="B53" s="537"/>
      <c r="C53" s="403"/>
      <c r="D53" s="126" t="s">
        <v>170</v>
      </c>
      <c r="E53" s="126" t="s">
        <v>235</v>
      </c>
      <c r="F53" s="126">
        <v>5</v>
      </c>
      <c r="G53" s="126" t="s">
        <v>35</v>
      </c>
      <c r="H53" s="126">
        <v>27</v>
      </c>
      <c r="I53" s="126"/>
      <c r="J53" s="126">
        <v>30</v>
      </c>
      <c r="K53" s="126"/>
      <c r="L53" s="126"/>
      <c r="M53" s="126"/>
      <c r="N53" s="126"/>
      <c r="O53" s="5"/>
      <c r="P53" s="1"/>
      <c r="Q53" s="126"/>
      <c r="R53" s="126"/>
      <c r="S53" s="126"/>
      <c r="T53" s="126"/>
      <c r="U53" s="126"/>
      <c r="V53" s="126"/>
      <c r="W53" s="126"/>
      <c r="X53" s="126"/>
      <c r="Y53" s="36">
        <v>1.1000000000000001</v>
      </c>
      <c r="AA53" s="5" t="s">
        <v>476</v>
      </c>
    </row>
    <row r="54" spans="1:27" ht="21.75" customHeight="1" x14ac:dyDescent="0.2">
      <c r="A54" s="495"/>
      <c r="B54" s="537"/>
      <c r="C54" s="403"/>
      <c r="D54" s="390" t="s">
        <v>170</v>
      </c>
      <c r="E54" s="390" t="s">
        <v>113</v>
      </c>
      <c r="F54" s="390">
        <v>5</v>
      </c>
      <c r="G54" s="390" t="s">
        <v>32</v>
      </c>
      <c r="H54" s="391">
        <v>23</v>
      </c>
      <c r="I54" s="390">
        <v>15</v>
      </c>
      <c r="J54" s="390">
        <v>30</v>
      </c>
      <c r="K54" s="126"/>
      <c r="L54" s="126"/>
      <c r="M54" s="126">
        <v>15</v>
      </c>
      <c r="N54" s="126"/>
      <c r="O54" s="5"/>
      <c r="P54" s="1"/>
      <c r="Q54" s="126"/>
      <c r="R54" s="126"/>
      <c r="S54" s="126"/>
      <c r="T54" s="126"/>
      <c r="U54" s="126"/>
      <c r="V54" s="126"/>
      <c r="W54" s="126"/>
      <c r="X54" s="126"/>
      <c r="Y54" s="36">
        <v>2.1</v>
      </c>
      <c r="AA54" s="5" t="s">
        <v>689</v>
      </c>
    </row>
    <row r="55" spans="1:27" ht="21.75" customHeight="1" x14ac:dyDescent="0.2">
      <c r="A55" s="495"/>
      <c r="B55" s="537"/>
      <c r="C55" s="493"/>
      <c r="D55" s="390" t="s">
        <v>170</v>
      </c>
      <c r="E55" s="390" t="s">
        <v>201</v>
      </c>
      <c r="F55" s="390">
        <v>5</v>
      </c>
      <c r="G55" s="390" t="s">
        <v>32</v>
      </c>
      <c r="H55" s="391">
        <v>23</v>
      </c>
      <c r="I55" s="390"/>
      <c r="J55" s="390">
        <v>30</v>
      </c>
      <c r="K55" s="126"/>
      <c r="L55" s="126"/>
      <c r="M55" s="126"/>
      <c r="N55" s="126"/>
      <c r="O55" s="5"/>
      <c r="P55" s="1"/>
      <c r="Q55" s="126"/>
      <c r="R55" s="126"/>
      <c r="S55" s="126"/>
      <c r="T55" s="126"/>
      <c r="U55" s="126"/>
      <c r="V55" s="126"/>
      <c r="W55" s="126"/>
      <c r="X55" s="126"/>
      <c r="Y55" s="36">
        <v>1.1000000000000001</v>
      </c>
      <c r="AA55" s="5" t="s">
        <v>463</v>
      </c>
    </row>
    <row r="56" spans="1:27" ht="24" customHeight="1" x14ac:dyDescent="0.3">
      <c r="A56" s="491">
        <v>29</v>
      </c>
      <c r="B56" s="532" t="s">
        <v>181</v>
      </c>
      <c r="C56" s="514" t="s">
        <v>650</v>
      </c>
      <c r="D56" s="126" t="s">
        <v>61</v>
      </c>
      <c r="E56" s="76" t="s">
        <v>177</v>
      </c>
      <c r="F56" s="126">
        <v>5</v>
      </c>
      <c r="G56" s="127" t="s">
        <v>35</v>
      </c>
      <c r="H56" s="127">
        <v>27</v>
      </c>
      <c r="I56" s="126">
        <v>15</v>
      </c>
      <c r="J56" s="126">
        <v>30</v>
      </c>
      <c r="K56" s="126"/>
      <c r="L56" s="126"/>
      <c r="M56" s="126">
        <v>15</v>
      </c>
      <c r="N56" s="126"/>
      <c r="O56" s="5"/>
      <c r="P56" s="1"/>
      <c r="Q56" s="126"/>
      <c r="R56" s="126"/>
      <c r="S56" s="126"/>
      <c r="T56" s="126"/>
      <c r="U56" s="126"/>
      <c r="V56" s="126"/>
      <c r="W56" s="126"/>
      <c r="X56" s="42"/>
      <c r="Y56" s="100">
        <v>2.1</v>
      </c>
      <c r="AA56" s="5" t="s">
        <v>466</v>
      </c>
    </row>
    <row r="57" spans="1:27" ht="24" customHeight="1" thickBot="1" x14ac:dyDescent="0.35">
      <c r="A57" s="492"/>
      <c r="B57" s="533"/>
      <c r="C57" s="540"/>
      <c r="D57" s="126" t="s">
        <v>61</v>
      </c>
      <c r="E57" s="126" t="s">
        <v>178</v>
      </c>
      <c r="F57" s="126">
        <v>5</v>
      </c>
      <c r="G57" s="127" t="s">
        <v>32</v>
      </c>
      <c r="H57" s="127">
        <v>7</v>
      </c>
      <c r="I57" s="126">
        <v>15</v>
      </c>
      <c r="J57" s="126">
        <v>30</v>
      </c>
      <c r="K57" s="126"/>
      <c r="L57" s="126"/>
      <c r="M57" s="126">
        <v>15</v>
      </c>
      <c r="N57" s="126"/>
      <c r="O57" s="5"/>
      <c r="P57" s="1"/>
      <c r="Q57" s="126"/>
      <c r="R57" s="126"/>
      <c r="S57" s="126"/>
      <c r="T57" s="126"/>
      <c r="U57" s="126"/>
      <c r="V57" s="126"/>
      <c r="W57" s="126"/>
      <c r="X57" s="42"/>
      <c r="Y57" s="100">
        <v>2.1</v>
      </c>
      <c r="AA57" s="5" t="s">
        <v>479</v>
      </c>
    </row>
    <row r="58" spans="1:27" ht="39.75" customHeight="1" thickBot="1" x14ac:dyDescent="0.25">
      <c r="A58" s="451" t="s">
        <v>160</v>
      </c>
      <c r="B58" s="452"/>
      <c r="C58" s="452"/>
      <c r="D58" s="452"/>
      <c r="E58" s="452"/>
      <c r="F58" s="452"/>
      <c r="G58" s="452"/>
      <c r="H58" s="453"/>
      <c r="I58" s="61">
        <f t="shared" ref="I58:Y58" si="0">SUM(I12:I57)</f>
        <v>330</v>
      </c>
      <c r="J58" s="61">
        <f t="shared" si="0"/>
        <v>1200</v>
      </c>
      <c r="K58" s="61">
        <f t="shared" si="0"/>
        <v>0</v>
      </c>
      <c r="L58" s="61">
        <f t="shared" si="0"/>
        <v>0</v>
      </c>
      <c r="M58" s="61">
        <f t="shared" si="0"/>
        <v>270</v>
      </c>
      <c r="N58" s="61">
        <f t="shared" si="0"/>
        <v>0</v>
      </c>
      <c r="O58" s="61">
        <f t="shared" si="0"/>
        <v>0</v>
      </c>
      <c r="P58" s="61">
        <f t="shared" si="0"/>
        <v>0</v>
      </c>
      <c r="Q58" s="61">
        <f t="shared" si="0"/>
        <v>0</v>
      </c>
      <c r="R58" s="61">
        <f t="shared" si="0"/>
        <v>0</v>
      </c>
      <c r="S58" s="61">
        <f t="shared" si="0"/>
        <v>0</v>
      </c>
      <c r="T58" s="61">
        <f t="shared" si="0"/>
        <v>0</v>
      </c>
      <c r="U58" s="61">
        <f t="shared" si="0"/>
        <v>0</v>
      </c>
      <c r="V58" s="61">
        <f t="shared" si="0"/>
        <v>0</v>
      </c>
      <c r="W58" s="61">
        <f t="shared" si="0"/>
        <v>0</v>
      </c>
      <c r="X58" s="61">
        <f t="shared" si="0"/>
        <v>0</v>
      </c>
      <c r="Y58" s="38">
        <f t="shared" si="0"/>
        <v>64.600000000000037</v>
      </c>
    </row>
    <row r="59" spans="1:27" customFormat="1" ht="23.25" customHeight="1" x14ac:dyDescent="0.2">
      <c r="A59" s="129"/>
      <c r="B59" s="401" t="s">
        <v>360</v>
      </c>
      <c r="C59" s="278"/>
      <c r="D59" s="77" t="s">
        <v>289</v>
      </c>
      <c r="E59" s="77" t="s">
        <v>358</v>
      </c>
      <c r="F59" s="130">
        <v>5</v>
      </c>
      <c r="G59" s="130" t="s">
        <v>35</v>
      </c>
      <c r="H59" s="130">
        <v>3</v>
      </c>
      <c r="I59" s="76">
        <v>15</v>
      </c>
      <c r="J59" s="76">
        <v>30</v>
      </c>
      <c r="K59" s="76"/>
      <c r="L59" s="76"/>
      <c r="M59" s="76">
        <v>15</v>
      </c>
      <c r="N59" s="76"/>
      <c r="O59" s="76">
        <v>3</v>
      </c>
      <c r="P59" s="76"/>
      <c r="Q59" s="76"/>
      <c r="R59" s="76"/>
      <c r="S59" s="76"/>
      <c r="T59" s="76"/>
      <c r="U59" s="76"/>
      <c r="V59" s="76"/>
      <c r="W59" s="76"/>
      <c r="X59" s="76"/>
      <c r="Y59" s="76">
        <v>1.05</v>
      </c>
      <c r="AA59" s="5" t="s">
        <v>469</v>
      </c>
    </row>
    <row r="60" spans="1:27" customFormat="1" ht="17.25" customHeight="1" thickBot="1" x14ac:dyDescent="0.25">
      <c r="A60" s="129"/>
      <c r="B60" s="401"/>
      <c r="C60" s="278"/>
      <c r="D60" s="77" t="s">
        <v>289</v>
      </c>
      <c r="E60" s="77" t="s">
        <v>359</v>
      </c>
      <c r="F60" s="130">
        <v>5</v>
      </c>
      <c r="G60" s="130" t="s">
        <v>32</v>
      </c>
      <c r="H60" s="130">
        <v>3</v>
      </c>
      <c r="I60" s="76">
        <v>15</v>
      </c>
      <c r="J60" s="76">
        <v>30</v>
      </c>
      <c r="K60" s="76"/>
      <c r="L60" s="76"/>
      <c r="M60" s="76">
        <v>15</v>
      </c>
      <c r="N60" s="76"/>
      <c r="O60" s="76">
        <v>3</v>
      </c>
      <c r="P60" s="76"/>
      <c r="Q60" s="76"/>
      <c r="R60" s="76"/>
      <c r="S60" s="76"/>
      <c r="T60" s="76"/>
      <c r="U60" s="76"/>
      <c r="V60" s="76"/>
      <c r="W60" s="76"/>
      <c r="X60" s="76"/>
      <c r="Y60" s="76">
        <v>1.05</v>
      </c>
      <c r="AA60" s="5" t="s">
        <v>470</v>
      </c>
    </row>
    <row r="61" spans="1:27" ht="39.75" customHeight="1" thickBot="1" x14ac:dyDescent="0.25">
      <c r="A61" s="128"/>
      <c r="B61" s="401" t="s">
        <v>361</v>
      </c>
      <c r="C61" s="278"/>
      <c r="D61" s="93" t="s">
        <v>289</v>
      </c>
      <c r="E61" s="93" t="s">
        <v>358</v>
      </c>
      <c r="F61" s="127">
        <v>5</v>
      </c>
      <c r="G61" s="127" t="s">
        <v>35</v>
      </c>
      <c r="H61" s="127">
        <v>3</v>
      </c>
      <c r="I61" s="126">
        <v>15</v>
      </c>
      <c r="J61" s="126">
        <v>30</v>
      </c>
      <c r="K61" s="126"/>
      <c r="L61" s="126"/>
      <c r="M61" s="126">
        <v>15</v>
      </c>
      <c r="N61" s="126"/>
      <c r="O61" s="126">
        <v>3</v>
      </c>
      <c r="P61" s="126"/>
      <c r="Q61" s="126"/>
      <c r="R61" s="126"/>
      <c r="S61" s="126"/>
      <c r="T61" s="126"/>
      <c r="U61" s="126"/>
      <c r="V61" s="126"/>
      <c r="W61" s="126"/>
      <c r="X61" s="126"/>
      <c r="Y61" s="126">
        <v>2.1</v>
      </c>
      <c r="AA61" s="5" t="s">
        <v>471</v>
      </c>
    </row>
    <row r="62" spans="1:27" customFormat="1" ht="17.25" customHeight="1" x14ac:dyDescent="0.2">
      <c r="A62" s="104"/>
      <c r="B62" s="401"/>
      <c r="C62" s="278"/>
      <c r="D62" s="93" t="s">
        <v>116</v>
      </c>
      <c r="E62" s="93" t="s">
        <v>356</v>
      </c>
      <c r="F62" s="127">
        <v>5</v>
      </c>
      <c r="G62" s="127" t="s">
        <v>35</v>
      </c>
      <c r="H62" s="127">
        <v>4</v>
      </c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>
        <v>0</v>
      </c>
      <c r="AA62" s="5" t="s">
        <v>471</v>
      </c>
    </row>
    <row r="63" spans="1:27" customFormat="1" ht="17.25" customHeight="1" thickBot="1" x14ac:dyDescent="0.25">
      <c r="A63" s="104"/>
      <c r="B63" s="401"/>
      <c r="C63" s="278"/>
      <c r="D63" s="93" t="s">
        <v>116</v>
      </c>
      <c r="E63" s="93" t="s">
        <v>357</v>
      </c>
      <c r="F63" s="127">
        <v>5</v>
      </c>
      <c r="G63" s="127" t="s">
        <v>32</v>
      </c>
      <c r="H63" s="127">
        <v>3</v>
      </c>
      <c r="I63" s="126">
        <v>15</v>
      </c>
      <c r="J63" s="126">
        <v>30</v>
      </c>
      <c r="K63" s="126"/>
      <c r="L63" s="126"/>
      <c r="M63" s="126">
        <v>15</v>
      </c>
      <c r="N63" s="126"/>
      <c r="O63" s="126">
        <v>3</v>
      </c>
      <c r="P63" s="126"/>
      <c r="Q63" s="126"/>
      <c r="R63" s="126"/>
      <c r="S63" s="126"/>
      <c r="T63" s="126"/>
      <c r="U63" s="126"/>
      <c r="V63" s="126"/>
      <c r="W63" s="126"/>
      <c r="X63" s="126"/>
      <c r="Y63" s="126">
        <v>2.1</v>
      </c>
      <c r="AA63" s="5" t="s">
        <v>472</v>
      </c>
    </row>
    <row r="64" spans="1:27" ht="39.75" customHeight="1" thickBot="1" x14ac:dyDescent="0.25">
      <c r="A64" s="128"/>
      <c r="B64" s="401"/>
      <c r="C64" s="278"/>
      <c r="D64" s="93" t="s">
        <v>289</v>
      </c>
      <c r="E64" s="93" t="s">
        <v>359</v>
      </c>
      <c r="F64" s="127">
        <v>5</v>
      </c>
      <c r="G64" s="127" t="s">
        <v>32</v>
      </c>
      <c r="H64" s="127">
        <v>3</v>
      </c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>
        <v>0</v>
      </c>
      <c r="AA64" s="5" t="s">
        <v>472</v>
      </c>
    </row>
    <row r="65" spans="1:27" ht="39.75" customHeight="1" thickBot="1" x14ac:dyDescent="0.25">
      <c r="A65" s="128"/>
      <c r="B65" s="401" t="s">
        <v>362</v>
      </c>
      <c r="C65" s="278"/>
      <c r="D65" s="93" t="s">
        <v>289</v>
      </c>
      <c r="E65" s="93" t="s">
        <v>358</v>
      </c>
      <c r="F65" s="127">
        <v>5</v>
      </c>
      <c r="G65" s="127" t="s">
        <v>35</v>
      </c>
      <c r="H65" s="127">
        <v>3</v>
      </c>
      <c r="I65" s="126">
        <v>15</v>
      </c>
      <c r="J65" s="126">
        <v>30</v>
      </c>
      <c r="K65" s="126"/>
      <c r="L65" s="126"/>
      <c r="M65" s="126">
        <v>15</v>
      </c>
      <c r="N65" s="126"/>
      <c r="O65" s="126">
        <v>3</v>
      </c>
      <c r="P65" s="126"/>
      <c r="Q65" s="126"/>
      <c r="R65" s="126"/>
      <c r="S65" s="126"/>
      <c r="T65" s="126"/>
      <c r="U65" s="126"/>
      <c r="V65" s="126"/>
      <c r="W65" s="126"/>
      <c r="X65" s="126"/>
      <c r="Y65" s="126">
        <v>2.1</v>
      </c>
      <c r="AA65" s="5" t="s">
        <v>465</v>
      </c>
    </row>
    <row r="66" spans="1:27" ht="39.75" customHeight="1" thickBot="1" x14ac:dyDescent="0.25">
      <c r="A66" s="128"/>
      <c r="B66" s="401"/>
      <c r="C66" s="278"/>
      <c r="D66" s="93" t="s">
        <v>116</v>
      </c>
      <c r="E66" s="93" t="s">
        <v>356</v>
      </c>
      <c r="F66" s="127">
        <v>5</v>
      </c>
      <c r="G66" s="127" t="s">
        <v>35</v>
      </c>
      <c r="H66" s="127">
        <v>4</v>
      </c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>
        <v>0</v>
      </c>
      <c r="AA66" s="5" t="s">
        <v>465</v>
      </c>
    </row>
    <row r="67" spans="1:27" ht="39.75" customHeight="1" thickBot="1" x14ac:dyDescent="0.25">
      <c r="A67" s="128"/>
      <c r="B67" s="401"/>
      <c r="C67" s="278"/>
      <c r="D67" s="93" t="s">
        <v>116</v>
      </c>
      <c r="E67" s="93" t="s">
        <v>357</v>
      </c>
      <c r="F67" s="127">
        <v>5</v>
      </c>
      <c r="G67" s="127" t="s">
        <v>32</v>
      </c>
      <c r="H67" s="127">
        <v>3</v>
      </c>
      <c r="I67" s="126">
        <v>15</v>
      </c>
      <c r="J67" s="126">
        <v>30</v>
      </c>
      <c r="K67" s="126"/>
      <c r="L67" s="126"/>
      <c r="M67" s="126">
        <v>15</v>
      </c>
      <c r="N67" s="126"/>
      <c r="O67" s="126">
        <v>3</v>
      </c>
      <c r="P67" s="126"/>
      <c r="Q67" s="126"/>
      <c r="R67" s="126"/>
      <c r="S67" s="126"/>
      <c r="T67" s="126"/>
      <c r="U67" s="126"/>
      <c r="V67" s="126"/>
      <c r="W67" s="126"/>
      <c r="X67" s="126"/>
      <c r="Y67" s="126">
        <v>2.1</v>
      </c>
      <c r="AA67" s="5" t="s">
        <v>473</v>
      </c>
    </row>
    <row r="68" spans="1:27" ht="39.75" customHeight="1" thickBot="1" x14ac:dyDescent="0.25">
      <c r="A68" s="128"/>
      <c r="B68" s="401"/>
      <c r="C68" s="278"/>
      <c r="D68" s="93" t="s">
        <v>289</v>
      </c>
      <c r="E68" s="93" t="s">
        <v>359</v>
      </c>
      <c r="F68" s="127">
        <v>5</v>
      </c>
      <c r="G68" s="127" t="s">
        <v>32</v>
      </c>
      <c r="H68" s="127">
        <v>3</v>
      </c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>
        <v>0</v>
      </c>
      <c r="AA68" s="5" t="s">
        <v>473</v>
      </c>
    </row>
    <row r="69" spans="1:27" ht="39.75" customHeight="1" thickBot="1" x14ac:dyDescent="0.25">
      <c r="A69" s="128"/>
      <c r="B69" s="536" t="s">
        <v>363</v>
      </c>
      <c r="C69" s="294"/>
      <c r="D69" s="77" t="s">
        <v>289</v>
      </c>
      <c r="E69" s="77" t="s">
        <v>358</v>
      </c>
      <c r="F69" s="130">
        <v>4</v>
      </c>
      <c r="G69" s="130" t="s">
        <v>35</v>
      </c>
      <c r="H69" s="130">
        <v>3</v>
      </c>
      <c r="I69" s="76">
        <v>15</v>
      </c>
      <c r="J69" s="76">
        <v>30</v>
      </c>
      <c r="K69" s="76"/>
      <c r="L69" s="76"/>
      <c r="M69" s="76">
        <v>8</v>
      </c>
      <c r="N69" s="76"/>
      <c r="O69" s="76">
        <v>3</v>
      </c>
      <c r="P69" s="76"/>
      <c r="Q69" s="76"/>
      <c r="R69" s="76"/>
      <c r="S69" s="76"/>
      <c r="T69" s="76"/>
      <c r="U69" s="76"/>
      <c r="V69" s="76"/>
      <c r="W69" s="76"/>
      <c r="X69" s="76"/>
      <c r="Y69" s="76">
        <v>0.95</v>
      </c>
      <c r="AA69" s="5" t="s">
        <v>468</v>
      </c>
    </row>
    <row r="70" spans="1:27" ht="39.75" customHeight="1" thickBot="1" x14ac:dyDescent="0.25">
      <c r="A70" s="128"/>
      <c r="B70" s="536"/>
      <c r="C70" s="294"/>
      <c r="D70" s="77" t="s">
        <v>289</v>
      </c>
      <c r="E70" s="77" t="s">
        <v>359</v>
      </c>
      <c r="F70" s="130">
        <v>4</v>
      </c>
      <c r="G70" s="130" t="s">
        <v>32</v>
      </c>
      <c r="H70" s="130">
        <v>3</v>
      </c>
      <c r="I70" s="76">
        <v>15</v>
      </c>
      <c r="J70" s="76">
        <v>30</v>
      </c>
      <c r="K70" s="76"/>
      <c r="L70" s="76"/>
      <c r="M70" s="76">
        <v>8</v>
      </c>
      <c r="N70" s="76"/>
      <c r="O70" s="76">
        <v>3</v>
      </c>
      <c r="P70" s="76"/>
      <c r="Q70" s="76"/>
      <c r="R70" s="76"/>
      <c r="S70" s="76"/>
      <c r="T70" s="76"/>
      <c r="U70" s="76"/>
      <c r="V70" s="76"/>
      <c r="W70" s="76"/>
      <c r="X70" s="76"/>
      <c r="Y70" s="76">
        <v>0.95</v>
      </c>
      <c r="AA70" s="5" t="s">
        <v>468</v>
      </c>
    </row>
    <row r="71" spans="1:27" ht="39.75" customHeight="1" thickBot="1" x14ac:dyDescent="0.25">
      <c r="A71" s="128"/>
      <c r="B71" s="534" t="s">
        <v>365</v>
      </c>
      <c r="C71" s="299"/>
      <c r="D71" s="93" t="s">
        <v>116</v>
      </c>
      <c r="E71" s="93" t="s">
        <v>356</v>
      </c>
      <c r="F71" s="127">
        <v>5</v>
      </c>
      <c r="G71" s="127" t="s">
        <v>35</v>
      </c>
      <c r="H71" s="127">
        <v>4</v>
      </c>
      <c r="I71" s="126">
        <v>15</v>
      </c>
      <c r="J71" s="126">
        <v>30</v>
      </c>
      <c r="K71" s="126"/>
      <c r="L71" s="126"/>
      <c r="M71" s="126">
        <v>15</v>
      </c>
      <c r="N71" s="126"/>
      <c r="O71" s="126">
        <v>3</v>
      </c>
      <c r="P71" s="126"/>
      <c r="Q71" s="126"/>
      <c r="R71" s="126"/>
      <c r="S71" s="126"/>
      <c r="T71" s="126"/>
      <c r="U71" s="126"/>
      <c r="V71" s="126"/>
      <c r="W71" s="126"/>
      <c r="X71" s="126"/>
      <c r="Y71" s="126">
        <v>1.05</v>
      </c>
      <c r="AA71" s="5" t="s">
        <v>465</v>
      </c>
    </row>
    <row r="72" spans="1:27" ht="39.75" customHeight="1" thickBot="1" x14ac:dyDescent="0.25">
      <c r="A72" s="128"/>
      <c r="B72" s="535"/>
      <c r="C72" s="299"/>
      <c r="D72" s="93" t="s">
        <v>116</v>
      </c>
      <c r="E72" s="93" t="s">
        <v>357</v>
      </c>
      <c r="F72" s="127">
        <v>5</v>
      </c>
      <c r="G72" s="127" t="s">
        <v>32</v>
      </c>
      <c r="H72" s="127">
        <v>3</v>
      </c>
      <c r="I72" s="126">
        <v>15</v>
      </c>
      <c r="J72" s="126">
        <v>30</v>
      </c>
      <c r="K72" s="126"/>
      <c r="L72" s="126"/>
      <c r="M72" s="126">
        <v>15</v>
      </c>
      <c r="N72" s="126"/>
      <c r="O72" s="126">
        <v>3</v>
      </c>
      <c r="P72" s="126"/>
      <c r="Q72" s="126"/>
      <c r="R72" s="126"/>
      <c r="S72" s="126"/>
      <c r="T72" s="126"/>
      <c r="U72" s="126"/>
      <c r="V72" s="126"/>
      <c r="W72" s="126"/>
      <c r="X72" s="126"/>
      <c r="Y72" s="126">
        <v>1.05</v>
      </c>
      <c r="AA72" s="5" t="s">
        <v>473</v>
      </c>
    </row>
    <row r="73" spans="1:27" ht="39.75" customHeight="1" thickBot="1" x14ac:dyDescent="0.25">
      <c r="A73" s="128"/>
      <c r="B73" s="534" t="s">
        <v>366</v>
      </c>
      <c r="C73" s="299"/>
      <c r="D73" s="77" t="s">
        <v>116</v>
      </c>
      <c r="E73" s="77" t="s">
        <v>356</v>
      </c>
      <c r="F73" s="130">
        <v>5</v>
      </c>
      <c r="G73" s="130" t="s">
        <v>35</v>
      </c>
      <c r="H73" s="130">
        <v>4</v>
      </c>
      <c r="I73" s="76">
        <v>15</v>
      </c>
      <c r="J73" s="76">
        <v>30</v>
      </c>
      <c r="K73" s="76"/>
      <c r="L73" s="76"/>
      <c r="M73" s="76">
        <v>15</v>
      </c>
      <c r="N73" s="76"/>
      <c r="O73" s="76">
        <v>3</v>
      </c>
      <c r="P73" s="76"/>
      <c r="Q73" s="76"/>
      <c r="R73" s="76"/>
      <c r="S73" s="76"/>
      <c r="T73" s="76"/>
      <c r="U73" s="76"/>
      <c r="V73" s="76"/>
      <c r="W73" s="76"/>
      <c r="X73" s="76"/>
      <c r="Y73" s="76">
        <v>1.05</v>
      </c>
      <c r="AA73" s="5" t="s">
        <v>469</v>
      </c>
    </row>
    <row r="74" spans="1:27" ht="39.75" customHeight="1" thickBot="1" x14ac:dyDescent="0.25">
      <c r="A74" s="128"/>
      <c r="B74" s="535"/>
      <c r="C74" s="299"/>
      <c r="D74" s="77" t="s">
        <v>116</v>
      </c>
      <c r="E74" s="77" t="s">
        <v>357</v>
      </c>
      <c r="F74" s="130">
        <v>5</v>
      </c>
      <c r="G74" s="130" t="s">
        <v>32</v>
      </c>
      <c r="H74" s="130">
        <v>3</v>
      </c>
      <c r="I74" s="76">
        <v>15</v>
      </c>
      <c r="J74" s="76">
        <v>30</v>
      </c>
      <c r="K74" s="76"/>
      <c r="L74" s="76"/>
      <c r="M74" s="76">
        <v>15</v>
      </c>
      <c r="N74" s="76"/>
      <c r="O74" s="76">
        <v>3</v>
      </c>
      <c r="P74" s="76"/>
      <c r="Q74" s="76"/>
      <c r="R74" s="76"/>
      <c r="S74" s="76"/>
      <c r="T74" s="76"/>
      <c r="U74" s="76"/>
      <c r="V74" s="76"/>
      <c r="W74" s="76"/>
      <c r="X74" s="76"/>
      <c r="Y74" s="76">
        <v>1.05</v>
      </c>
      <c r="AA74" s="196" t="s">
        <v>472</v>
      </c>
    </row>
    <row r="75" spans="1:27" ht="39.75" customHeight="1" thickBot="1" x14ac:dyDescent="0.25">
      <c r="A75" s="128"/>
      <c r="B75" s="534" t="s">
        <v>367</v>
      </c>
      <c r="C75" s="299"/>
      <c r="D75" s="93" t="s">
        <v>116</v>
      </c>
      <c r="E75" s="93" t="s">
        <v>356</v>
      </c>
      <c r="F75" s="127">
        <v>4</v>
      </c>
      <c r="G75" s="127" t="s">
        <v>35</v>
      </c>
      <c r="H75" s="127">
        <v>4</v>
      </c>
      <c r="I75" s="126">
        <v>15</v>
      </c>
      <c r="J75" s="126">
        <v>30</v>
      </c>
      <c r="K75" s="126"/>
      <c r="L75" s="126"/>
      <c r="M75" s="126">
        <v>8</v>
      </c>
      <c r="N75" s="126"/>
      <c r="O75" s="126">
        <v>3</v>
      </c>
      <c r="P75" s="126"/>
      <c r="Q75" s="126"/>
      <c r="R75" s="126"/>
      <c r="S75" s="126"/>
      <c r="T75" s="126"/>
      <c r="U75" s="126"/>
      <c r="V75" s="126"/>
      <c r="W75" s="126"/>
      <c r="X75" s="126"/>
      <c r="Y75" s="126">
        <v>0.95</v>
      </c>
      <c r="AA75" s="5" t="s">
        <v>465</v>
      </c>
    </row>
    <row r="76" spans="1:27" ht="39.75" customHeight="1" thickBot="1" x14ac:dyDescent="0.25">
      <c r="A76" s="128"/>
      <c r="B76" s="535"/>
      <c r="C76" s="299"/>
      <c r="D76" s="93" t="s">
        <v>116</v>
      </c>
      <c r="E76" s="93" t="s">
        <v>357</v>
      </c>
      <c r="F76" s="127">
        <v>4</v>
      </c>
      <c r="G76" s="127" t="s">
        <v>32</v>
      </c>
      <c r="H76" s="127">
        <v>3</v>
      </c>
      <c r="I76" s="126">
        <v>15</v>
      </c>
      <c r="J76" s="126">
        <v>30</v>
      </c>
      <c r="K76" s="126"/>
      <c r="L76" s="126"/>
      <c r="M76" s="126">
        <v>8</v>
      </c>
      <c r="N76" s="126"/>
      <c r="O76" s="126">
        <v>3</v>
      </c>
      <c r="P76" s="126"/>
      <c r="Q76" s="126"/>
      <c r="R76" s="126"/>
      <c r="S76" s="126"/>
      <c r="T76" s="126"/>
      <c r="U76" s="126"/>
      <c r="V76" s="126"/>
      <c r="W76" s="126"/>
      <c r="X76" s="126"/>
      <c r="Y76" s="126">
        <v>0.95</v>
      </c>
      <c r="AA76" s="5" t="s">
        <v>473</v>
      </c>
    </row>
    <row r="77" spans="1:27" ht="39.75" customHeight="1" thickBot="1" x14ac:dyDescent="0.25">
      <c r="A77" s="451" t="s">
        <v>377</v>
      </c>
      <c r="B77" s="452"/>
      <c r="C77" s="452"/>
      <c r="D77" s="452"/>
      <c r="E77" s="452"/>
      <c r="F77" s="452"/>
      <c r="G77" s="452"/>
      <c r="H77" s="453"/>
      <c r="I77" s="94">
        <f t="shared" ref="I77:Y77" si="1">SUM(I59:I76)</f>
        <v>210</v>
      </c>
      <c r="J77" s="94">
        <f t="shared" si="1"/>
        <v>420</v>
      </c>
      <c r="K77" s="94">
        <f t="shared" si="1"/>
        <v>0</v>
      </c>
      <c r="L77" s="94">
        <f t="shared" si="1"/>
        <v>0</v>
      </c>
      <c r="M77" s="94">
        <f t="shared" si="1"/>
        <v>182</v>
      </c>
      <c r="N77" s="94">
        <f t="shared" si="1"/>
        <v>0</v>
      </c>
      <c r="O77" s="94">
        <f t="shared" si="1"/>
        <v>42</v>
      </c>
      <c r="P77" s="94">
        <f t="shared" si="1"/>
        <v>0</v>
      </c>
      <c r="Q77" s="94">
        <f t="shared" si="1"/>
        <v>0</v>
      </c>
      <c r="R77" s="94">
        <f t="shared" si="1"/>
        <v>0</v>
      </c>
      <c r="S77" s="94">
        <f t="shared" si="1"/>
        <v>0</v>
      </c>
      <c r="T77" s="94">
        <f t="shared" si="1"/>
        <v>0</v>
      </c>
      <c r="U77" s="94">
        <f t="shared" si="1"/>
        <v>0</v>
      </c>
      <c r="V77" s="94">
        <f t="shared" si="1"/>
        <v>0</v>
      </c>
      <c r="W77" s="94">
        <f t="shared" si="1"/>
        <v>0</v>
      </c>
      <c r="X77" s="94">
        <f t="shared" si="1"/>
        <v>0</v>
      </c>
      <c r="Y77" s="94">
        <f t="shared" si="1"/>
        <v>18.5</v>
      </c>
    </row>
    <row r="78" spans="1:27" ht="39.75" customHeight="1" thickBot="1" x14ac:dyDescent="0.25">
      <c r="A78" s="451" t="s">
        <v>33</v>
      </c>
      <c r="B78" s="452"/>
      <c r="C78" s="452"/>
      <c r="D78" s="452"/>
      <c r="E78" s="452"/>
      <c r="F78" s="452"/>
      <c r="G78" s="452"/>
      <c r="H78" s="453"/>
      <c r="I78" s="94">
        <f t="shared" ref="I78:Y78" si="2">I77+I58</f>
        <v>540</v>
      </c>
      <c r="J78" s="94">
        <f t="shared" si="2"/>
        <v>1620</v>
      </c>
      <c r="K78" s="94">
        <f t="shared" si="2"/>
        <v>0</v>
      </c>
      <c r="L78" s="94">
        <f t="shared" si="2"/>
        <v>0</v>
      </c>
      <c r="M78" s="94">
        <f t="shared" si="2"/>
        <v>452</v>
      </c>
      <c r="N78" s="94">
        <f t="shared" si="2"/>
        <v>0</v>
      </c>
      <c r="O78" s="94">
        <f t="shared" si="2"/>
        <v>42</v>
      </c>
      <c r="P78" s="94">
        <f t="shared" si="2"/>
        <v>0</v>
      </c>
      <c r="Q78" s="94">
        <f t="shared" si="2"/>
        <v>0</v>
      </c>
      <c r="R78" s="94">
        <f t="shared" si="2"/>
        <v>0</v>
      </c>
      <c r="S78" s="94">
        <f t="shared" si="2"/>
        <v>0</v>
      </c>
      <c r="T78" s="94">
        <f t="shared" si="2"/>
        <v>0</v>
      </c>
      <c r="U78" s="94">
        <f t="shared" si="2"/>
        <v>0</v>
      </c>
      <c r="V78" s="94">
        <f t="shared" si="2"/>
        <v>0</v>
      </c>
      <c r="W78" s="94">
        <f t="shared" si="2"/>
        <v>0</v>
      </c>
      <c r="X78" s="94">
        <f t="shared" si="2"/>
        <v>0</v>
      </c>
      <c r="Y78" s="94">
        <f t="shared" si="2"/>
        <v>83.100000000000037</v>
      </c>
    </row>
    <row r="79" spans="1:27" ht="32.25" customHeight="1" thickBot="1" x14ac:dyDescent="0.25">
      <c r="A79" s="451" t="s">
        <v>31</v>
      </c>
      <c r="B79" s="452"/>
      <c r="C79" s="452"/>
      <c r="D79" s="452"/>
      <c r="E79" s="452"/>
      <c r="F79" s="452"/>
      <c r="G79" s="452"/>
      <c r="H79" s="453"/>
      <c r="I79" s="79" t="e">
        <f>I78+#REF!</f>
        <v>#REF!</v>
      </c>
      <c r="J79" s="102" t="e">
        <f>J78+#REF!</f>
        <v>#REF!</v>
      </c>
      <c r="K79" s="102" t="e">
        <f>K78+#REF!</f>
        <v>#REF!</v>
      </c>
      <c r="L79" s="102" t="e">
        <f>L78+#REF!</f>
        <v>#REF!</v>
      </c>
      <c r="M79" s="102" t="e">
        <f>M78+#REF!</f>
        <v>#REF!</v>
      </c>
      <c r="N79" s="102" t="e">
        <f>N78+#REF!</f>
        <v>#REF!</v>
      </c>
      <c r="O79" s="102" t="e">
        <f>O78+#REF!</f>
        <v>#REF!</v>
      </c>
      <c r="P79" s="102" t="e">
        <f>P78+#REF!</f>
        <v>#REF!</v>
      </c>
      <c r="Q79" s="102" t="e">
        <f>Q78+#REF!</f>
        <v>#REF!</v>
      </c>
      <c r="R79" s="102" t="e">
        <f>R78+#REF!</f>
        <v>#REF!</v>
      </c>
      <c r="S79" s="102" t="e">
        <f>S78+#REF!</f>
        <v>#REF!</v>
      </c>
      <c r="T79" s="102" t="e">
        <f>T78+#REF!</f>
        <v>#REF!</v>
      </c>
      <c r="U79" s="102" t="e">
        <f>U78+#REF!</f>
        <v>#REF!</v>
      </c>
      <c r="V79" s="102" t="e">
        <f>V78+#REF!</f>
        <v>#REF!</v>
      </c>
      <c r="W79" s="102" t="e">
        <f>W78+#REF!</f>
        <v>#REF!</v>
      </c>
      <c r="X79" s="102" t="e">
        <f>X78+#REF!</f>
        <v>#REF!</v>
      </c>
      <c r="Y79" s="102" t="e">
        <f>Y78+#REF!</f>
        <v>#REF!</v>
      </c>
    </row>
    <row r="80" spans="1:27" x14ac:dyDescent="0.2">
      <c r="A80" s="88"/>
      <c r="B80" s="40"/>
      <c r="C80" s="40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25"/>
    </row>
    <row r="81" spans="2:25" x14ac:dyDescent="0.3">
      <c r="B81" s="26" t="s">
        <v>56</v>
      </c>
      <c r="C81" s="26"/>
      <c r="D81" s="6"/>
      <c r="E81" s="6"/>
      <c r="F81" s="87"/>
      <c r="G81" s="86"/>
      <c r="H81" s="86"/>
      <c r="I81" s="86"/>
      <c r="J81" s="87" t="s">
        <v>40</v>
      </c>
      <c r="K81" s="26"/>
      <c r="L81" s="87" t="s">
        <v>118</v>
      </c>
      <c r="M81" s="26"/>
      <c r="N81" s="26"/>
      <c r="O81" s="27"/>
      <c r="P81" s="26"/>
      <c r="Q81" s="27"/>
      <c r="R81" s="26"/>
      <c r="S81" s="26"/>
      <c r="T81" s="26"/>
      <c r="U81" s="6"/>
      <c r="V81" s="6"/>
      <c r="W81" s="6"/>
      <c r="X81" s="6"/>
      <c r="Y81" s="28"/>
    </row>
    <row r="82" spans="2:25" x14ac:dyDescent="0.3">
      <c r="B82" s="394" t="s">
        <v>159</v>
      </c>
      <c r="C82" s="394"/>
      <c r="D82" s="394"/>
      <c r="E82" s="394"/>
      <c r="F82" s="6"/>
      <c r="G82" s="86"/>
      <c r="H82" s="86"/>
      <c r="I82" s="86"/>
      <c r="J82" s="88"/>
      <c r="K82" s="26"/>
      <c r="L82" s="26" t="s">
        <v>158</v>
      </c>
      <c r="M82" s="26"/>
      <c r="N82" s="26"/>
      <c r="O82" s="6"/>
      <c r="P82" s="6"/>
      <c r="R82" s="6"/>
      <c r="S82" s="88"/>
      <c r="T82" s="88"/>
      <c r="U82" s="6"/>
      <c r="V82" s="88"/>
      <c r="W82" s="88"/>
      <c r="X82" s="6"/>
      <c r="Y82" s="28"/>
    </row>
  </sheetData>
  <mergeCells count="58">
    <mergeCell ref="C24:C31"/>
    <mergeCell ref="C32:C39"/>
    <mergeCell ref="C40:C47"/>
    <mergeCell ref="C48:C55"/>
    <mergeCell ref="C56:C57"/>
    <mergeCell ref="A48:A55"/>
    <mergeCell ref="B48:B55"/>
    <mergeCell ref="A40:A47"/>
    <mergeCell ref="V8:V9"/>
    <mergeCell ref="W8:W9"/>
    <mergeCell ref="B40:B47"/>
    <mergeCell ref="A12:A17"/>
    <mergeCell ref="A24:A31"/>
    <mergeCell ref="A32:A39"/>
    <mergeCell ref="B24:B31"/>
    <mergeCell ref="B32:B39"/>
    <mergeCell ref="B12:B17"/>
    <mergeCell ref="B18:B23"/>
    <mergeCell ref="N8:N9"/>
    <mergeCell ref="M8:M9"/>
    <mergeCell ref="I8:I9"/>
    <mergeCell ref="A56:A57"/>
    <mergeCell ref="B56:B57"/>
    <mergeCell ref="B82:E82"/>
    <mergeCell ref="A79:H79"/>
    <mergeCell ref="A58:H58"/>
    <mergeCell ref="B71:B72"/>
    <mergeCell ref="B73:B74"/>
    <mergeCell ref="B75:B76"/>
    <mergeCell ref="A77:H77"/>
    <mergeCell ref="A78:H78"/>
    <mergeCell ref="B59:B60"/>
    <mergeCell ref="B61:B64"/>
    <mergeCell ref="B65:B68"/>
    <mergeCell ref="B69:B70"/>
    <mergeCell ref="B1:Y1"/>
    <mergeCell ref="A6:Y6"/>
    <mergeCell ref="A7:Y7"/>
    <mergeCell ref="A8:A9"/>
    <mergeCell ref="B8:B9"/>
    <mergeCell ref="D8:D9"/>
    <mergeCell ref="E8:E9"/>
    <mergeCell ref="F8:F9"/>
    <mergeCell ref="G8:G9"/>
    <mergeCell ref="H8:H9"/>
    <mergeCell ref="X8:X9"/>
    <mergeCell ref="Y8:Y9"/>
    <mergeCell ref="O8:O9"/>
    <mergeCell ref="P8:P9"/>
    <mergeCell ref="Q8:Q9"/>
    <mergeCell ref="R8:U8"/>
    <mergeCell ref="J8:J9"/>
    <mergeCell ref="K8:K9"/>
    <mergeCell ref="L8:L9"/>
    <mergeCell ref="A11:Y11"/>
    <mergeCell ref="A18:A23"/>
    <mergeCell ref="C12:C17"/>
    <mergeCell ref="C18:C23"/>
  </mergeCells>
  <phoneticPr fontId="18" type="noConversion"/>
  <pageMargins left="0.27559055118110237" right="0.11811023622047245" top="0.78740157480314965" bottom="0.27559055118110237" header="0.31496062992125984" footer="0.31496062992125984"/>
  <pageSetup paperSize="9" scale="51" orientation="landscape" verticalDpi="300" r:id="rId1"/>
  <rowBreaks count="1" manualBreakCount="1">
    <brk id="43" max="58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K443"/>
  <sheetViews>
    <sheetView showGridLines="0" view="pageBreakPreview" topLeftCell="A190" zoomScale="52" zoomScaleNormal="56" zoomScaleSheetLayoutView="52" workbookViewId="0">
      <selection activeCell="V208" sqref="V208"/>
    </sheetView>
  </sheetViews>
  <sheetFormatPr defaultRowHeight="18.75" x14ac:dyDescent="0.3"/>
  <cols>
    <col min="1" max="1" width="5.28515625" style="23" customWidth="1"/>
    <col min="2" max="2" width="42.42578125" style="29" customWidth="1"/>
    <col min="3" max="3" width="17.140625" style="29" customWidth="1"/>
    <col min="4" max="4" width="16" style="23" customWidth="1"/>
    <col min="5" max="5" width="28.28515625" style="23" customWidth="1"/>
    <col min="6" max="6" width="6.42578125" style="23" customWidth="1"/>
    <col min="7" max="7" width="8.28515625" style="23" customWidth="1"/>
    <col min="8" max="8" width="9.28515625" style="23" bestFit="1" customWidth="1"/>
    <col min="9" max="15" width="8.28515625" style="23" customWidth="1"/>
    <col min="16" max="16" width="6.5703125" style="23" customWidth="1"/>
    <col min="17" max="17" width="10.5703125" style="23" customWidth="1"/>
    <col min="18" max="18" width="6.28515625" style="23" customWidth="1"/>
    <col min="19" max="19" width="8.28515625" style="23" customWidth="1"/>
    <col min="20" max="24" width="6.28515625" style="23" customWidth="1"/>
    <col min="25" max="25" width="11.7109375" style="23" customWidth="1"/>
    <col min="26" max="26" width="18.42578125" style="214" customWidth="1"/>
    <col min="27" max="27" width="39" customWidth="1"/>
    <col min="28" max="28" width="11.42578125" bestFit="1" customWidth="1"/>
    <col min="30" max="30" width="21.28515625" customWidth="1"/>
    <col min="31" max="31" width="37.7109375" style="214" customWidth="1"/>
    <col min="32" max="32" width="15.42578125" style="214" customWidth="1"/>
  </cols>
  <sheetData>
    <row r="1" spans="1:32" x14ac:dyDescent="0.3">
      <c r="A1" s="6"/>
      <c r="B1" s="413" t="s">
        <v>39</v>
      </c>
      <c r="C1" s="413"/>
      <c r="D1" s="413"/>
      <c r="E1" s="413"/>
      <c r="F1" s="413"/>
      <c r="G1" s="413"/>
      <c r="H1" s="413"/>
      <c r="I1" s="413"/>
      <c r="J1" s="413"/>
      <c r="K1" s="413"/>
      <c r="L1" s="413"/>
      <c r="M1" s="413"/>
      <c r="N1" s="413"/>
      <c r="O1" s="413"/>
      <c r="P1" s="413"/>
      <c r="Q1" s="413"/>
      <c r="R1" s="413"/>
      <c r="S1" s="413"/>
      <c r="T1" s="413"/>
      <c r="U1" s="413"/>
      <c r="V1" s="413"/>
      <c r="W1" s="413"/>
      <c r="X1" s="413"/>
      <c r="Y1" s="25" t="s">
        <v>17</v>
      </c>
    </row>
    <row r="2" spans="1:32" x14ac:dyDescent="0.3">
      <c r="A2" s="6"/>
      <c r="B2" s="413"/>
      <c r="C2" s="413"/>
      <c r="D2" s="413"/>
      <c r="E2" s="413"/>
      <c r="F2" s="413"/>
      <c r="G2" s="413"/>
      <c r="H2" s="413"/>
      <c r="I2" s="413"/>
      <c r="J2" s="413"/>
      <c r="K2" s="413"/>
      <c r="L2" s="413"/>
      <c r="M2" s="413"/>
      <c r="N2" s="413"/>
      <c r="O2" s="413"/>
      <c r="P2" s="413"/>
      <c r="Q2" s="413"/>
      <c r="R2" s="413"/>
      <c r="S2" s="413"/>
      <c r="T2" s="413"/>
      <c r="U2" s="413"/>
      <c r="V2" s="413"/>
      <c r="W2" s="413"/>
      <c r="X2" s="413"/>
      <c r="Y2" s="28"/>
    </row>
    <row r="3" spans="1:32" x14ac:dyDescent="0.3">
      <c r="A3" s="6"/>
      <c r="B3" s="19"/>
      <c r="C3" s="19"/>
      <c r="D3" s="19"/>
      <c r="E3" s="367"/>
      <c r="F3" s="367"/>
      <c r="G3" s="19"/>
      <c r="H3" s="19"/>
      <c r="I3" s="387"/>
      <c r="J3" s="367"/>
      <c r="K3" s="6"/>
      <c r="L3" s="6"/>
      <c r="M3" s="6"/>
      <c r="N3" s="6"/>
      <c r="O3" s="387"/>
      <c r="P3" s="29" t="s">
        <v>18</v>
      </c>
      <c r="T3" s="6"/>
      <c r="U3" s="6"/>
      <c r="V3" s="6"/>
      <c r="W3" s="6"/>
      <c r="X3" s="387"/>
      <c r="Y3" s="37"/>
    </row>
    <row r="4" spans="1:32" x14ac:dyDescent="0.3">
      <c r="A4" s="19"/>
      <c r="B4" s="19"/>
      <c r="C4" s="19"/>
      <c r="D4" s="19"/>
      <c r="E4" s="367"/>
      <c r="F4" s="367"/>
      <c r="G4" s="19"/>
      <c r="H4" s="387"/>
      <c r="I4" s="387"/>
      <c r="J4" s="367"/>
      <c r="K4" s="6"/>
      <c r="L4" s="6"/>
      <c r="M4" s="6"/>
      <c r="N4" s="6"/>
      <c r="O4" s="387"/>
      <c r="P4" s="29" t="s">
        <v>215</v>
      </c>
      <c r="T4" s="6"/>
      <c r="U4" s="6"/>
      <c r="V4" s="6"/>
      <c r="W4" s="6"/>
      <c r="X4" s="19"/>
      <c r="Y4" s="24"/>
    </row>
    <row r="5" spans="1:32" x14ac:dyDescent="0.3">
      <c r="A5" s="19"/>
      <c r="B5" s="19"/>
      <c r="C5" s="19"/>
      <c r="D5" s="19"/>
      <c r="E5" s="367"/>
      <c r="F5" s="367"/>
      <c r="G5" s="19"/>
      <c r="H5" s="387"/>
      <c r="I5" s="387"/>
      <c r="J5" s="367"/>
      <c r="K5" s="6"/>
      <c r="L5" s="6"/>
      <c r="M5" s="6"/>
      <c r="N5" s="6"/>
      <c r="O5" s="387"/>
      <c r="P5" s="29" t="s">
        <v>34</v>
      </c>
      <c r="T5" s="6"/>
      <c r="U5" s="6"/>
      <c r="V5" s="6"/>
      <c r="W5" s="6"/>
      <c r="X5" s="19"/>
      <c r="Y5" s="24"/>
    </row>
    <row r="6" spans="1:32" x14ac:dyDescent="0.3">
      <c r="A6" s="6"/>
      <c r="B6" s="19"/>
      <c r="C6" s="19"/>
      <c r="D6" s="6"/>
      <c r="E6" s="367"/>
      <c r="F6" s="367"/>
      <c r="G6" s="387"/>
      <c r="H6" s="387"/>
      <c r="I6" s="387"/>
      <c r="J6" s="367"/>
      <c r="K6" s="6"/>
      <c r="L6" s="6"/>
      <c r="M6" s="6"/>
      <c r="N6" s="6"/>
      <c r="O6" s="387"/>
      <c r="P6" s="6"/>
      <c r="Q6" s="6"/>
      <c r="R6" s="6"/>
      <c r="S6" s="6"/>
      <c r="T6" s="6"/>
      <c r="U6" s="6"/>
      <c r="V6" s="6"/>
      <c r="W6" s="6"/>
      <c r="X6" s="19"/>
      <c r="Y6" s="24"/>
    </row>
    <row r="7" spans="1:32" x14ac:dyDescent="0.25">
      <c r="A7" s="414" t="s">
        <v>209</v>
      </c>
      <c r="B7" s="414"/>
      <c r="C7" s="414"/>
      <c r="D7" s="414"/>
      <c r="E7" s="414"/>
      <c r="F7" s="414"/>
      <c r="G7" s="414"/>
      <c r="H7" s="414"/>
      <c r="I7" s="414"/>
      <c r="J7" s="414"/>
      <c r="K7" s="414"/>
      <c r="L7" s="414"/>
      <c r="M7" s="414"/>
      <c r="N7" s="414"/>
      <c r="O7" s="414"/>
      <c r="P7" s="414"/>
      <c r="Q7" s="414"/>
      <c r="R7" s="414"/>
      <c r="S7" s="414"/>
      <c r="T7" s="414"/>
      <c r="U7" s="414"/>
      <c r="V7" s="414"/>
      <c r="W7" s="414"/>
      <c r="X7" s="414"/>
      <c r="Y7" s="414"/>
    </row>
    <row r="8" spans="1:32" x14ac:dyDescent="0.3">
      <c r="A8" s="415" t="s">
        <v>47</v>
      </c>
      <c r="B8" s="415"/>
      <c r="C8" s="415"/>
      <c r="D8" s="415"/>
      <c r="E8" s="415"/>
      <c r="F8" s="415"/>
      <c r="G8" s="415"/>
      <c r="H8" s="415"/>
      <c r="I8" s="415"/>
      <c r="J8" s="415"/>
      <c r="K8" s="415"/>
      <c r="L8" s="415"/>
      <c r="M8" s="415"/>
      <c r="N8" s="415"/>
      <c r="O8" s="415"/>
      <c r="P8" s="415"/>
      <c r="Q8" s="415"/>
      <c r="R8" s="415"/>
      <c r="S8" s="415"/>
      <c r="T8" s="415"/>
      <c r="U8" s="415"/>
      <c r="V8" s="415"/>
      <c r="W8" s="415"/>
      <c r="X8" s="415"/>
      <c r="Y8" s="415"/>
    </row>
    <row r="9" spans="1:32" ht="19.5" thickBot="1" x14ac:dyDescent="0.35">
      <c r="A9" s="368"/>
      <c r="B9" s="368"/>
      <c r="C9" s="368"/>
      <c r="D9" s="368"/>
      <c r="E9" s="368"/>
      <c r="F9" s="368"/>
      <c r="G9" s="368"/>
      <c r="H9" s="368"/>
      <c r="I9" s="368"/>
      <c r="J9" s="368"/>
      <c r="K9" s="368"/>
      <c r="L9" s="368"/>
      <c r="M9" s="368"/>
      <c r="N9" s="368"/>
      <c r="O9" s="368"/>
      <c r="P9" s="368"/>
      <c r="Q9" s="368"/>
      <c r="R9" s="368"/>
      <c r="S9" s="368"/>
      <c r="T9" s="368"/>
      <c r="U9" s="368"/>
      <c r="V9" s="368"/>
      <c r="W9" s="368"/>
      <c r="X9" s="368"/>
      <c r="Y9" s="368"/>
    </row>
    <row r="10" spans="1:32" ht="18.75" customHeight="1" x14ac:dyDescent="0.25">
      <c r="A10" s="416" t="s">
        <v>19</v>
      </c>
      <c r="B10" s="417" t="s">
        <v>20</v>
      </c>
      <c r="C10" s="370"/>
      <c r="D10" s="410" t="s">
        <v>12</v>
      </c>
      <c r="E10" s="410" t="s">
        <v>13</v>
      </c>
      <c r="F10" s="410" t="s">
        <v>59</v>
      </c>
      <c r="G10" s="410" t="s">
        <v>21</v>
      </c>
      <c r="H10" s="410" t="s">
        <v>22</v>
      </c>
      <c r="I10" s="410" t="s">
        <v>23</v>
      </c>
      <c r="J10" s="410" t="s">
        <v>9</v>
      </c>
      <c r="K10" s="410" t="s">
        <v>10</v>
      </c>
      <c r="L10" s="410" t="s">
        <v>38</v>
      </c>
      <c r="M10" s="410" t="s">
        <v>14</v>
      </c>
      <c r="N10" s="410" t="s">
        <v>37</v>
      </c>
      <c r="O10" s="410" t="s">
        <v>15</v>
      </c>
      <c r="P10" s="410" t="s">
        <v>24</v>
      </c>
      <c r="Q10" s="410" t="s">
        <v>16</v>
      </c>
      <c r="R10" s="412" t="s">
        <v>25</v>
      </c>
      <c r="S10" s="412"/>
      <c r="T10" s="412"/>
      <c r="U10" s="412"/>
      <c r="V10" s="410" t="s">
        <v>36</v>
      </c>
      <c r="W10" s="410" t="s">
        <v>26</v>
      </c>
      <c r="X10" s="410" t="s">
        <v>11</v>
      </c>
      <c r="Y10" s="419" t="s">
        <v>58</v>
      </c>
    </row>
    <row r="11" spans="1:32" ht="132" customHeight="1" x14ac:dyDescent="0.25">
      <c r="A11" s="398"/>
      <c r="B11" s="418"/>
      <c r="C11" s="371" t="s">
        <v>651</v>
      </c>
      <c r="D11" s="411"/>
      <c r="E11" s="411"/>
      <c r="F11" s="411"/>
      <c r="G11" s="411"/>
      <c r="H11" s="411"/>
      <c r="I11" s="411"/>
      <c r="J11" s="411"/>
      <c r="K11" s="411"/>
      <c r="L11" s="411"/>
      <c r="M11" s="411"/>
      <c r="N11" s="411"/>
      <c r="O11" s="411"/>
      <c r="P11" s="411"/>
      <c r="Q11" s="411"/>
      <c r="R11" s="372" t="s">
        <v>28</v>
      </c>
      <c r="S11" s="372" t="s">
        <v>29</v>
      </c>
      <c r="T11" s="372" t="s">
        <v>30</v>
      </c>
      <c r="U11" s="372" t="s">
        <v>48</v>
      </c>
      <c r="V11" s="411"/>
      <c r="W11" s="411"/>
      <c r="X11" s="411"/>
      <c r="Y11" s="420"/>
    </row>
    <row r="12" spans="1:32" x14ac:dyDescent="0.25">
      <c r="A12" s="389">
        <v>1</v>
      </c>
      <c r="B12" s="67">
        <v>2</v>
      </c>
      <c r="C12" s="67"/>
      <c r="D12" s="72">
        <v>3</v>
      </c>
      <c r="E12" s="72">
        <v>4</v>
      </c>
      <c r="F12" s="72">
        <v>5</v>
      </c>
      <c r="G12" s="72">
        <v>6</v>
      </c>
      <c r="H12" s="72">
        <v>7</v>
      </c>
      <c r="I12" s="72">
        <v>8</v>
      </c>
      <c r="J12" s="72">
        <v>9</v>
      </c>
      <c r="K12" s="72">
        <v>10</v>
      </c>
      <c r="L12" s="72">
        <v>12</v>
      </c>
      <c r="M12" s="72">
        <v>11</v>
      </c>
      <c r="N12" s="72">
        <v>13</v>
      </c>
      <c r="O12" s="72">
        <v>14</v>
      </c>
      <c r="P12" s="72">
        <v>15</v>
      </c>
      <c r="Q12" s="72">
        <v>16</v>
      </c>
      <c r="R12" s="72">
        <v>17</v>
      </c>
      <c r="S12" s="72">
        <v>18</v>
      </c>
      <c r="T12" s="72">
        <v>19</v>
      </c>
      <c r="U12" s="72">
        <v>20</v>
      </c>
      <c r="V12" s="72">
        <v>21</v>
      </c>
      <c r="W12" s="72">
        <v>22</v>
      </c>
      <c r="X12" s="72">
        <v>23</v>
      </c>
      <c r="Y12" s="50">
        <v>24</v>
      </c>
    </row>
    <row r="13" spans="1:32" s="1" customFormat="1" ht="19.5" customHeight="1" x14ac:dyDescent="0.25">
      <c r="A13" s="406" t="s">
        <v>157</v>
      </c>
      <c r="B13" s="407"/>
      <c r="C13" s="407"/>
      <c r="D13" s="407"/>
      <c r="E13" s="407"/>
      <c r="F13" s="407"/>
      <c r="G13" s="407"/>
      <c r="H13" s="407"/>
      <c r="I13" s="407"/>
      <c r="J13" s="407"/>
      <c r="K13" s="407"/>
      <c r="L13" s="407"/>
      <c r="M13" s="407"/>
      <c r="N13" s="407"/>
      <c r="O13" s="407"/>
      <c r="P13" s="407"/>
      <c r="Q13" s="407"/>
      <c r="R13" s="407"/>
      <c r="S13" s="407"/>
      <c r="T13" s="407"/>
      <c r="U13" s="407"/>
      <c r="V13" s="407"/>
      <c r="W13" s="407"/>
      <c r="X13" s="407"/>
      <c r="Y13" s="408"/>
      <c r="Z13" s="184"/>
      <c r="AE13" s="184"/>
      <c r="AF13" s="184"/>
    </row>
    <row r="14" spans="1:32" s="1" customFormat="1" ht="19.5" customHeight="1" x14ac:dyDescent="0.25">
      <c r="A14" s="224"/>
      <c r="B14" s="395" t="s">
        <v>79</v>
      </c>
      <c r="C14" s="375"/>
      <c r="D14" s="225" t="s">
        <v>52</v>
      </c>
      <c r="E14" s="386" t="s">
        <v>97</v>
      </c>
      <c r="F14" s="384">
        <v>2</v>
      </c>
      <c r="G14" s="386" t="s">
        <v>35</v>
      </c>
      <c r="H14" s="386">
        <v>25</v>
      </c>
      <c r="I14" s="386">
        <v>15</v>
      </c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7"/>
      <c r="Z14" s="228" t="s">
        <v>604</v>
      </c>
      <c r="AA14" s="229"/>
      <c r="AB14" s="229"/>
      <c r="AE14" s="184"/>
      <c r="AF14" s="184"/>
    </row>
    <row r="15" spans="1:32" s="1" customFormat="1" ht="19.5" customHeight="1" x14ac:dyDescent="0.25">
      <c r="A15" s="224"/>
      <c r="B15" s="396"/>
      <c r="C15" s="376"/>
      <c r="D15" s="225" t="s">
        <v>52</v>
      </c>
      <c r="E15" s="386" t="s">
        <v>167</v>
      </c>
      <c r="F15" s="384">
        <v>2</v>
      </c>
      <c r="G15" s="386" t="s">
        <v>35</v>
      </c>
      <c r="H15" s="386">
        <v>25</v>
      </c>
      <c r="I15" s="386"/>
      <c r="J15" s="226"/>
      <c r="K15" s="226"/>
      <c r="L15" s="226"/>
      <c r="M15" s="226"/>
      <c r="N15" s="226"/>
      <c r="O15" s="226"/>
      <c r="P15" s="226"/>
      <c r="Q15" s="226"/>
      <c r="R15" s="226"/>
      <c r="S15" s="226"/>
      <c r="T15" s="226"/>
      <c r="U15" s="226"/>
      <c r="V15" s="226"/>
      <c r="W15" s="226"/>
      <c r="X15" s="226"/>
      <c r="Y15" s="227"/>
      <c r="Z15" s="228" t="s">
        <v>604</v>
      </c>
      <c r="AA15" s="229"/>
      <c r="AB15" s="229"/>
      <c r="AE15" s="184"/>
      <c r="AF15" s="184"/>
    </row>
    <row r="16" spans="1:32" s="1" customFormat="1" ht="19.5" customHeight="1" x14ac:dyDescent="0.25">
      <c r="A16" s="224"/>
      <c r="B16" s="396"/>
      <c r="C16" s="376"/>
      <c r="D16" s="225" t="s">
        <v>52</v>
      </c>
      <c r="E16" s="386" t="s">
        <v>249</v>
      </c>
      <c r="F16" s="384">
        <v>2</v>
      </c>
      <c r="G16" s="386" t="s">
        <v>35</v>
      </c>
      <c r="H16" s="386">
        <v>25</v>
      </c>
      <c r="I16" s="386"/>
      <c r="J16" s="226"/>
      <c r="K16" s="226"/>
      <c r="L16" s="226"/>
      <c r="M16" s="226"/>
      <c r="N16" s="226"/>
      <c r="O16" s="226"/>
      <c r="P16" s="226"/>
      <c r="Q16" s="226"/>
      <c r="R16" s="226"/>
      <c r="S16" s="226"/>
      <c r="T16" s="226"/>
      <c r="U16" s="226"/>
      <c r="V16" s="226"/>
      <c r="W16" s="226"/>
      <c r="X16" s="226"/>
      <c r="Y16" s="227"/>
      <c r="Z16" s="228" t="s">
        <v>604</v>
      </c>
      <c r="AA16" s="229"/>
      <c r="AB16" s="229"/>
      <c r="AE16" s="184"/>
      <c r="AF16" s="184"/>
    </row>
    <row r="17" spans="1:32" s="1" customFormat="1" ht="19.5" customHeight="1" x14ac:dyDescent="0.25">
      <c r="A17" s="224"/>
      <c r="B17" s="396"/>
      <c r="C17" s="376"/>
      <c r="D17" s="225" t="s">
        <v>52</v>
      </c>
      <c r="E17" s="386" t="s">
        <v>250</v>
      </c>
      <c r="F17" s="384">
        <v>2</v>
      </c>
      <c r="G17" s="386" t="s">
        <v>35</v>
      </c>
      <c r="H17" s="386">
        <v>25</v>
      </c>
      <c r="I17" s="386"/>
      <c r="J17" s="226"/>
      <c r="K17" s="226"/>
      <c r="L17" s="226"/>
      <c r="M17" s="226"/>
      <c r="N17" s="226"/>
      <c r="O17" s="226"/>
      <c r="P17" s="226"/>
      <c r="Q17" s="226"/>
      <c r="R17" s="226"/>
      <c r="S17" s="226"/>
      <c r="T17" s="226"/>
      <c r="U17" s="226"/>
      <c r="V17" s="226"/>
      <c r="W17" s="226"/>
      <c r="X17" s="226"/>
      <c r="Y17" s="227"/>
      <c r="Z17" s="228" t="s">
        <v>604</v>
      </c>
      <c r="AA17" s="229"/>
      <c r="AB17" s="229"/>
      <c r="AE17" s="184"/>
      <c r="AF17" s="184"/>
    </row>
    <row r="18" spans="1:32" s="1" customFormat="1" ht="19.5" customHeight="1" x14ac:dyDescent="0.25">
      <c r="A18" s="224"/>
      <c r="B18" s="396"/>
      <c r="C18" s="376"/>
      <c r="D18" s="384" t="s">
        <v>51</v>
      </c>
      <c r="E18" s="384" t="s">
        <v>100</v>
      </c>
      <c r="F18" s="384">
        <v>2</v>
      </c>
      <c r="G18" s="386" t="s">
        <v>35</v>
      </c>
      <c r="H18" s="384">
        <v>25</v>
      </c>
      <c r="I18" s="386"/>
      <c r="J18" s="226"/>
      <c r="K18" s="226"/>
      <c r="L18" s="226"/>
      <c r="M18" s="226"/>
      <c r="N18" s="226"/>
      <c r="O18" s="226"/>
      <c r="P18" s="226"/>
      <c r="Q18" s="226"/>
      <c r="R18" s="226"/>
      <c r="S18" s="226"/>
      <c r="T18" s="226"/>
      <c r="U18" s="226"/>
      <c r="V18" s="226"/>
      <c r="W18" s="226"/>
      <c r="X18" s="226"/>
      <c r="Y18" s="227"/>
      <c r="Z18" s="228" t="s">
        <v>604</v>
      </c>
      <c r="AA18" s="229"/>
      <c r="AB18" s="229"/>
      <c r="AE18" s="184"/>
      <c r="AF18" s="184"/>
    </row>
    <row r="19" spans="1:32" s="1" customFormat="1" ht="19.5" customHeight="1" x14ac:dyDescent="0.25">
      <c r="A19" s="224"/>
      <c r="B19" s="396"/>
      <c r="C19" s="376"/>
      <c r="D19" s="384" t="s">
        <v>45</v>
      </c>
      <c r="E19" s="384" t="s">
        <v>166</v>
      </c>
      <c r="F19" s="384">
        <v>2</v>
      </c>
      <c r="G19" s="384" t="s">
        <v>35</v>
      </c>
      <c r="H19" s="384">
        <v>24</v>
      </c>
      <c r="I19" s="386"/>
      <c r="J19" s="226"/>
      <c r="K19" s="226"/>
      <c r="L19" s="226"/>
      <c r="M19" s="226"/>
      <c r="N19" s="226"/>
      <c r="O19" s="226"/>
      <c r="P19" s="226"/>
      <c r="Q19" s="226"/>
      <c r="R19" s="226"/>
      <c r="S19" s="226"/>
      <c r="T19" s="226"/>
      <c r="U19" s="226"/>
      <c r="V19" s="226"/>
      <c r="W19" s="226"/>
      <c r="X19" s="226"/>
      <c r="Y19" s="227"/>
      <c r="Z19" s="228" t="s">
        <v>604</v>
      </c>
      <c r="AA19" s="229"/>
      <c r="AB19" s="229"/>
      <c r="AE19" s="184"/>
      <c r="AF19" s="184"/>
    </row>
    <row r="20" spans="1:32" s="1" customFormat="1" ht="19.5" customHeight="1" x14ac:dyDescent="0.3">
      <c r="A20" s="409">
        <v>1</v>
      </c>
      <c r="B20" s="396"/>
      <c r="C20" s="376"/>
      <c r="D20" s="225" t="s">
        <v>52</v>
      </c>
      <c r="E20" s="386" t="s">
        <v>97</v>
      </c>
      <c r="F20" s="384">
        <v>2</v>
      </c>
      <c r="G20" s="386" t="s">
        <v>35</v>
      </c>
      <c r="H20" s="386">
        <v>25</v>
      </c>
      <c r="I20" s="386"/>
      <c r="J20" s="384">
        <v>38</v>
      </c>
      <c r="K20" s="384"/>
      <c r="L20" s="384"/>
      <c r="M20" s="384"/>
      <c r="N20" s="384"/>
      <c r="O20" s="384">
        <v>7</v>
      </c>
      <c r="P20" s="384"/>
      <c r="Q20" s="230"/>
      <c r="R20" s="230"/>
      <c r="S20" s="230"/>
      <c r="T20" s="231"/>
      <c r="U20" s="384"/>
      <c r="V20" s="384"/>
      <c r="W20" s="384"/>
      <c r="X20" s="384"/>
      <c r="Y20" s="232">
        <v>2</v>
      </c>
      <c r="Z20" s="228" t="s">
        <v>605</v>
      </c>
      <c r="AA20" s="229"/>
      <c r="AB20" s="229"/>
      <c r="AE20" s="184"/>
      <c r="AF20" s="184"/>
    </row>
    <row r="21" spans="1:32" s="1" customFormat="1" ht="19.5" customHeight="1" x14ac:dyDescent="0.3">
      <c r="A21" s="409"/>
      <c r="B21" s="396"/>
      <c r="C21" s="376"/>
      <c r="D21" s="225" t="s">
        <v>52</v>
      </c>
      <c r="E21" s="386" t="s">
        <v>167</v>
      </c>
      <c r="F21" s="384">
        <v>2</v>
      </c>
      <c r="G21" s="386" t="s">
        <v>35</v>
      </c>
      <c r="H21" s="386">
        <v>25</v>
      </c>
      <c r="I21" s="386"/>
      <c r="J21" s="384"/>
      <c r="K21" s="384"/>
      <c r="L21" s="384"/>
      <c r="M21" s="384"/>
      <c r="N21" s="230"/>
      <c r="O21" s="230"/>
      <c r="P21" s="230"/>
      <c r="Q21" s="230"/>
      <c r="R21" s="230"/>
      <c r="S21" s="230"/>
      <c r="T21" s="231"/>
      <c r="U21" s="384"/>
      <c r="V21" s="384"/>
      <c r="W21" s="384"/>
      <c r="X21" s="384"/>
      <c r="Y21" s="232"/>
      <c r="Z21" s="228" t="s">
        <v>605</v>
      </c>
      <c r="AA21" s="229"/>
      <c r="AB21" s="229"/>
      <c r="AE21" s="184"/>
      <c r="AF21" s="184"/>
    </row>
    <row r="22" spans="1:32" s="1" customFormat="1" ht="19.5" customHeight="1" x14ac:dyDescent="0.3">
      <c r="A22" s="409"/>
      <c r="B22" s="396"/>
      <c r="C22" s="376"/>
      <c r="D22" s="225" t="s">
        <v>52</v>
      </c>
      <c r="E22" s="386" t="s">
        <v>249</v>
      </c>
      <c r="F22" s="384">
        <v>2</v>
      </c>
      <c r="G22" s="386" t="s">
        <v>35</v>
      </c>
      <c r="H22" s="386">
        <v>25</v>
      </c>
      <c r="I22" s="386"/>
      <c r="J22" s="384">
        <v>38</v>
      </c>
      <c r="K22" s="384"/>
      <c r="L22" s="384"/>
      <c r="M22" s="384"/>
      <c r="N22" s="384"/>
      <c r="O22" s="384">
        <v>7</v>
      </c>
      <c r="P22" s="230"/>
      <c r="Q22" s="230"/>
      <c r="R22" s="230"/>
      <c r="S22" s="230"/>
      <c r="T22" s="231"/>
      <c r="U22" s="384"/>
      <c r="V22" s="384"/>
      <c r="W22" s="384"/>
      <c r="X22" s="384"/>
      <c r="Y22" s="232">
        <v>1.5</v>
      </c>
      <c r="Z22" s="228" t="s">
        <v>605</v>
      </c>
      <c r="AA22" s="229"/>
      <c r="AB22" s="229"/>
      <c r="AE22" s="184"/>
      <c r="AF22" s="184"/>
    </row>
    <row r="23" spans="1:32" s="1" customFormat="1" ht="19.5" customHeight="1" x14ac:dyDescent="0.3">
      <c r="A23" s="409"/>
      <c r="B23" s="396"/>
      <c r="C23" s="376"/>
      <c r="D23" s="225" t="s">
        <v>52</v>
      </c>
      <c r="E23" s="386" t="s">
        <v>250</v>
      </c>
      <c r="F23" s="384">
        <v>2</v>
      </c>
      <c r="G23" s="386" t="s">
        <v>35</v>
      </c>
      <c r="H23" s="386">
        <v>25</v>
      </c>
      <c r="I23" s="386"/>
      <c r="J23" s="384"/>
      <c r="K23" s="384"/>
      <c r="L23" s="384"/>
      <c r="M23" s="384"/>
      <c r="N23" s="384"/>
      <c r="O23" s="384"/>
      <c r="P23" s="230"/>
      <c r="Q23" s="230"/>
      <c r="R23" s="230"/>
      <c r="S23" s="230"/>
      <c r="T23" s="231"/>
      <c r="U23" s="384"/>
      <c r="V23" s="384"/>
      <c r="W23" s="384"/>
      <c r="X23" s="384"/>
      <c r="Y23" s="232"/>
      <c r="Z23" s="228" t="s">
        <v>605</v>
      </c>
      <c r="AA23" s="229"/>
      <c r="AB23" s="229"/>
      <c r="AE23" s="184"/>
      <c r="AF23" s="184"/>
    </row>
    <row r="24" spans="1:32" s="1" customFormat="1" ht="19.5" customHeight="1" x14ac:dyDescent="0.3">
      <c r="A24" s="409"/>
      <c r="B24" s="396"/>
      <c r="C24" s="376"/>
      <c r="D24" s="384" t="s">
        <v>51</v>
      </c>
      <c r="E24" s="384" t="s">
        <v>100</v>
      </c>
      <c r="F24" s="384">
        <v>2</v>
      </c>
      <c r="G24" s="386" t="s">
        <v>35</v>
      </c>
      <c r="H24" s="384">
        <v>25</v>
      </c>
      <c r="I24" s="386"/>
      <c r="J24" s="384">
        <v>38</v>
      </c>
      <c r="K24" s="384"/>
      <c r="L24" s="384"/>
      <c r="M24" s="384"/>
      <c r="N24" s="384"/>
      <c r="O24" s="384">
        <v>7</v>
      </c>
      <c r="P24" s="230"/>
      <c r="Q24" s="230"/>
      <c r="R24" s="230"/>
      <c r="S24" s="230"/>
      <c r="T24" s="231"/>
      <c r="U24" s="384"/>
      <c r="V24" s="384"/>
      <c r="W24" s="384"/>
      <c r="X24" s="384"/>
      <c r="Y24" s="232">
        <v>1.5</v>
      </c>
      <c r="Z24" s="228" t="s">
        <v>606</v>
      </c>
      <c r="AA24" s="229"/>
      <c r="AB24" s="229"/>
      <c r="AE24" s="184"/>
      <c r="AF24" s="184"/>
    </row>
    <row r="25" spans="1:32" s="1" customFormat="1" ht="19.5" customHeight="1" x14ac:dyDescent="0.3">
      <c r="A25" s="409"/>
      <c r="B25" s="396"/>
      <c r="C25" s="376"/>
      <c r="D25" s="384" t="s">
        <v>45</v>
      </c>
      <c r="E25" s="384" t="s">
        <v>166</v>
      </c>
      <c r="F25" s="384">
        <v>2</v>
      </c>
      <c r="G25" s="384" t="s">
        <v>35</v>
      </c>
      <c r="H25" s="384">
        <v>24</v>
      </c>
      <c r="I25" s="386"/>
      <c r="J25" s="384"/>
      <c r="K25" s="384"/>
      <c r="L25" s="384"/>
      <c r="M25" s="384"/>
      <c r="N25" s="230"/>
      <c r="O25" s="230"/>
      <c r="P25" s="230"/>
      <c r="Q25" s="230"/>
      <c r="R25" s="230"/>
      <c r="S25" s="230"/>
      <c r="T25" s="231"/>
      <c r="U25" s="384"/>
      <c r="V25" s="384"/>
      <c r="W25" s="384"/>
      <c r="X25" s="384"/>
      <c r="Y25" s="232"/>
      <c r="Z25" s="228" t="s">
        <v>606</v>
      </c>
      <c r="AA25" s="229"/>
      <c r="AB25" s="229"/>
      <c r="AE25" s="184"/>
      <c r="AF25" s="184"/>
    </row>
    <row r="26" spans="1:32" s="1" customFormat="1" ht="19.5" customHeight="1" x14ac:dyDescent="0.3">
      <c r="A26" s="409"/>
      <c r="B26" s="396"/>
      <c r="C26" s="376"/>
      <c r="D26" s="384" t="s">
        <v>45</v>
      </c>
      <c r="E26" s="384" t="s">
        <v>95</v>
      </c>
      <c r="F26" s="384">
        <v>2</v>
      </c>
      <c r="G26" s="384" t="s">
        <v>35</v>
      </c>
      <c r="H26" s="384">
        <v>25</v>
      </c>
      <c r="I26" s="386">
        <v>15</v>
      </c>
      <c r="J26" s="384"/>
      <c r="K26" s="384"/>
      <c r="L26" s="384"/>
      <c r="M26" s="384"/>
      <c r="N26" s="230"/>
      <c r="O26" s="230"/>
      <c r="P26" s="230"/>
      <c r="Q26" s="230"/>
      <c r="R26" s="230"/>
      <c r="S26" s="230"/>
      <c r="T26" s="231"/>
      <c r="U26" s="384"/>
      <c r="V26" s="384"/>
      <c r="W26" s="384"/>
      <c r="X26" s="384"/>
      <c r="Y26" s="232"/>
      <c r="Z26" s="228" t="s">
        <v>604</v>
      </c>
      <c r="AA26" s="229"/>
      <c r="AB26" s="229"/>
      <c r="AE26" s="184"/>
      <c r="AF26" s="184"/>
    </row>
    <row r="27" spans="1:32" s="1" customFormat="1" ht="19.5" customHeight="1" x14ac:dyDescent="0.3">
      <c r="A27" s="409"/>
      <c r="B27" s="396"/>
      <c r="C27" s="376"/>
      <c r="D27" s="384" t="s">
        <v>45</v>
      </c>
      <c r="E27" s="384" t="s">
        <v>96</v>
      </c>
      <c r="F27" s="384">
        <v>2</v>
      </c>
      <c r="G27" s="384" t="s">
        <v>35</v>
      </c>
      <c r="H27" s="384">
        <v>25</v>
      </c>
      <c r="I27" s="386"/>
      <c r="J27" s="384"/>
      <c r="K27" s="384"/>
      <c r="L27" s="384"/>
      <c r="M27" s="384"/>
      <c r="N27" s="230"/>
      <c r="O27" s="230"/>
      <c r="P27" s="230"/>
      <c r="Q27" s="230"/>
      <c r="R27" s="230"/>
      <c r="S27" s="230"/>
      <c r="T27" s="231"/>
      <c r="U27" s="384"/>
      <c r="V27" s="384"/>
      <c r="W27" s="384"/>
      <c r="X27" s="384"/>
      <c r="Y27" s="232"/>
      <c r="Z27" s="228" t="s">
        <v>604</v>
      </c>
      <c r="AA27" s="229"/>
      <c r="AB27" s="229"/>
      <c r="AE27" s="184"/>
      <c r="AF27" s="184"/>
    </row>
    <row r="28" spans="1:32" s="1" customFormat="1" ht="19.5" customHeight="1" x14ac:dyDescent="0.3">
      <c r="A28" s="409"/>
      <c r="B28" s="396"/>
      <c r="C28" s="376"/>
      <c r="D28" s="384" t="s">
        <v>45</v>
      </c>
      <c r="E28" s="384" t="s">
        <v>151</v>
      </c>
      <c r="F28" s="384">
        <v>2</v>
      </c>
      <c r="G28" s="384" t="s">
        <v>35</v>
      </c>
      <c r="H28" s="384">
        <v>25</v>
      </c>
      <c r="I28" s="386"/>
      <c r="J28" s="384"/>
      <c r="K28" s="384"/>
      <c r="L28" s="384"/>
      <c r="M28" s="384"/>
      <c r="N28" s="230"/>
      <c r="O28" s="230"/>
      <c r="P28" s="230"/>
      <c r="Q28" s="230"/>
      <c r="R28" s="230"/>
      <c r="S28" s="230"/>
      <c r="T28" s="231"/>
      <c r="U28" s="384"/>
      <c r="V28" s="384"/>
      <c r="W28" s="384"/>
      <c r="X28" s="384"/>
      <c r="Y28" s="232"/>
      <c r="Z28" s="228" t="s">
        <v>604</v>
      </c>
      <c r="AA28" s="229"/>
      <c r="AB28" s="229"/>
      <c r="AE28" s="184"/>
      <c r="AF28" s="184"/>
    </row>
    <row r="29" spans="1:32" s="1" customFormat="1" ht="19.5" customHeight="1" x14ac:dyDescent="0.3">
      <c r="A29" s="409"/>
      <c r="B29" s="396"/>
      <c r="C29" s="376"/>
      <c r="D29" s="384" t="s">
        <v>45</v>
      </c>
      <c r="E29" s="384" t="s">
        <v>152</v>
      </c>
      <c r="F29" s="384">
        <v>2</v>
      </c>
      <c r="G29" s="384" t="s">
        <v>35</v>
      </c>
      <c r="H29" s="384">
        <v>25</v>
      </c>
      <c r="I29" s="386"/>
      <c r="J29" s="384"/>
      <c r="K29" s="384"/>
      <c r="L29" s="384"/>
      <c r="M29" s="384"/>
      <c r="N29" s="230"/>
      <c r="O29" s="230"/>
      <c r="P29" s="230"/>
      <c r="Q29" s="230"/>
      <c r="R29" s="230"/>
      <c r="S29" s="230"/>
      <c r="T29" s="231"/>
      <c r="U29" s="384"/>
      <c r="V29" s="384"/>
      <c r="W29" s="384"/>
      <c r="X29" s="384"/>
      <c r="Y29" s="232"/>
      <c r="Z29" s="228" t="s">
        <v>604</v>
      </c>
      <c r="AA29" s="229"/>
      <c r="AB29" s="229"/>
      <c r="AE29" s="184"/>
      <c r="AF29" s="184"/>
    </row>
    <row r="30" spans="1:32" s="1" customFormat="1" ht="19.5" customHeight="1" x14ac:dyDescent="0.3">
      <c r="A30" s="409"/>
      <c r="B30" s="396"/>
      <c r="C30" s="376"/>
      <c r="D30" s="384" t="s">
        <v>45</v>
      </c>
      <c r="E30" s="384" t="s">
        <v>95</v>
      </c>
      <c r="F30" s="384">
        <v>2</v>
      </c>
      <c r="G30" s="384" t="s">
        <v>35</v>
      </c>
      <c r="H30" s="384">
        <v>25</v>
      </c>
      <c r="I30" s="386"/>
      <c r="J30" s="384">
        <v>38</v>
      </c>
      <c r="K30" s="384"/>
      <c r="L30" s="384"/>
      <c r="M30" s="384"/>
      <c r="N30" s="384"/>
      <c r="O30" s="384">
        <v>7</v>
      </c>
      <c r="P30" s="384"/>
      <c r="Q30" s="230"/>
      <c r="R30" s="230"/>
      <c r="S30" s="230"/>
      <c r="T30" s="231"/>
      <c r="U30" s="384"/>
      <c r="V30" s="384"/>
      <c r="W30" s="384"/>
      <c r="X30" s="384"/>
      <c r="Y30" s="232">
        <v>2</v>
      </c>
      <c r="Z30" s="228" t="s">
        <v>605</v>
      </c>
      <c r="AA30" s="229"/>
      <c r="AB30" s="229"/>
      <c r="AE30" s="184"/>
      <c r="AF30" s="184"/>
    </row>
    <row r="31" spans="1:32" s="1" customFormat="1" ht="19.5" customHeight="1" x14ac:dyDescent="0.3">
      <c r="A31" s="409"/>
      <c r="B31" s="396"/>
      <c r="C31" s="376"/>
      <c r="D31" s="384" t="s">
        <v>45</v>
      </c>
      <c r="E31" s="384" t="s">
        <v>96</v>
      </c>
      <c r="F31" s="384">
        <v>2</v>
      </c>
      <c r="G31" s="384" t="s">
        <v>35</v>
      </c>
      <c r="H31" s="384">
        <v>25</v>
      </c>
      <c r="I31" s="386"/>
      <c r="J31" s="384"/>
      <c r="K31" s="384"/>
      <c r="L31" s="384"/>
      <c r="M31" s="384"/>
      <c r="N31" s="230"/>
      <c r="O31" s="230"/>
      <c r="P31" s="230"/>
      <c r="Q31" s="230"/>
      <c r="R31" s="230"/>
      <c r="S31" s="230"/>
      <c r="T31" s="231"/>
      <c r="U31" s="384"/>
      <c r="V31" s="384"/>
      <c r="W31" s="384"/>
      <c r="X31" s="384"/>
      <c r="Y31" s="232"/>
      <c r="Z31" s="228" t="s">
        <v>605</v>
      </c>
      <c r="AA31" s="229"/>
      <c r="AB31" s="229"/>
      <c r="AE31" s="184"/>
      <c r="AF31" s="184"/>
    </row>
    <row r="32" spans="1:32" s="1" customFormat="1" ht="19.5" customHeight="1" x14ac:dyDescent="0.3">
      <c r="A32" s="409"/>
      <c r="B32" s="396"/>
      <c r="C32" s="376"/>
      <c r="D32" s="384" t="s">
        <v>45</v>
      </c>
      <c r="E32" s="384" t="s">
        <v>151</v>
      </c>
      <c r="F32" s="384">
        <v>2</v>
      </c>
      <c r="G32" s="384" t="s">
        <v>35</v>
      </c>
      <c r="H32" s="384">
        <v>25</v>
      </c>
      <c r="I32" s="386"/>
      <c r="J32" s="384">
        <v>38</v>
      </c>
      <c r="K32" s="384"/>
      <c r="L32" s="384"/>
      <c r="M32" s="384"/>
      <c r="N32" s="384"/>
      <c r="O32" s="384">
        <v>7</v>
      </c>
      <c r="P32" s="230"/>
      <c r="Q32" s="230"/>
      <c r="R32" s="230"/>
      <c r="S32" s="230"/>
      <c r="T32" s="231"/>
      <c r="U32" s="384"/>
      <c r="V32" s="384"/>
      <c r="W32" s="384"/>
      <c r="X32" s="384"/>
      <c r="Y32" s="232">
        <v>1.5</v>
      </c>
      <c r="Z32" s="228" t="s">
        <v>605</v>
      </c>
      <c r="AA32" s="229"/>
      <c r="AB32" s="229"/>
      <c r="AE32" s="184"/>
      <c r="AF32" s="184"/>
    </row>
    <row r="33" spans="1:32" s="1" customFormat="1" ht="19.5" customHeight="1" x14ac:dyDescent="0.3">
      <c r="A33" s="409"/>
      <c r="B33" s="396"/>
      <c r="C33" s="376"/>
      <c r="D33" s="384" t="s">
        <v>45</v>
      </c>
      <c r="E33" s="384" t="s">
        <v>152</v>
      </c>
      <c r="F33" s="384">
        <v>2</v>
      </c>
      <c r="G33" s="384" t="s">
        <v>35</v>
      </c>
      <c r="H33" s="384">
        <v>25</v>
      </c>
      <c r="I33" s="386"/>
      <c r="J33" s="384"/>
      <c r="K33" s="384"/>
      <c r="L33" s="384"/>
      <c r="M33" s="384"/>
      <c r="N33" s="230"/>
      <c r="O33" s="230"/>
      <c r="P33" s="230"/>
      <c r="Q33" s="230"/>
      <c r="R33" s="230"/>
      <c r="S33" s="230"/>
      <c r="T33" s="231"/>
      <c r="U33" s="384"/>
      <c r="V33" s="384"/>
      <c r="W33" s="384"/>
      <c r="X33" s="384"/>
      <c r="Y33" s="232"/>
      <c r="Z33" s="228" t="s">
        <v>605</v>
      </c>
      <c r="AA33" s="229"/>
      <c r="AB33" s="229"/>
      <c r="AE33" s="184"/>
      <c r="AF33" s="184"/>
    </row>
    <row r="34" spans="1:32" s="1" customFormat="1" ht="19.5" customHeight="1" x14ac:dyDescent="0.3">
      <c r="A34" s="409"/>
      <c r="B34" s="396"/>
      <c r="C34" s="376"/>
      <c r="D34" s="384" t="s">
        <v>43</v>
      </c>
      <c r="E34" s="384" t="s">
        <v>111</v>
      </c>
      <c r="F34" s="384">
        <v>2</v>
      </c>
      <c r="G34" s="384" t="s">
        <v>35</v>
      </c>
      <c r="H34" s="384">
        <v>12</v>
      </c>
      <c r="I34" s="386">
        <v>15</v>
      </c>
      <c r="J34" s="384"/>
      <c r="K34" s="384"/>
      <c r="L34" s="384"/>
      <c r="M34" s="384"/>
      <c r="N34" s="230"/>
      <c r="O34" s="230"/>
      <c r="P34" s="230"/>
      <c r="Q34" s="230"/>
      <c r="R34" s="230"/>
      <c r="S34" s="230"/>
      <c r="T34" s="231"/>
      <c r="U34" s="384"/>
      <c r="V34" s="384"/>
      <c r="W34" s="384"/>
      <c r="X34" s="384"/>
      <c r="Y34" s="232"/>
      <c r="Z34" s="228" t="s">
        <v>604</v>
      </c>
      <c r="AA34" s="229"/>
      <c r="AB34" s="229"/>
      <c r="AE34" s="184"/>
      <c r="AF34" s="184"/>
    </row>
    <row r="35" spans="1:32" s="1" customFormat="1" ht="19.5" customHeight="1" x14ac:dyDescent="0.3">
      <c r="A35" s="409"/>
      <c r="B35" s="396"/>
      <c r="C35" s="376"/>
      <c r="D35" s="225" t="s">
        <v>46</v>
      </c>
      <c r="E35" s="386" t="s">
        <v>86</v>
      </c>
      <c r="F35" s="384">
        <v>2</v>
      </c>
      <c r="G35" s="386" t="s">
        <v>35</v>
      </c>
      <c r="H35" s="386">
        <v>19</v>
      </c>
      <c r="I35" s="386"/>
      <c r="J35" s="384"/>
      <c r="K35" s="384"/>
      <c r="L35" s="384"/>
      <c r="M35" s="384"/>
      <c r="N35" s="230"/>
      <c r="O35" s="230"/>
      <c r="P35" s="230"/>
      <c r="Q35" s="230"/>
      <c r="R35" s="230"/>
      <c r="S35" s="230"/>
      <c r="T35" s="231"/>
      <c r="U35" s="384"/>
      <c r="V35" s="384"/>
      <c r="W35" s="384"/>
      <c r="X35" s="384"/>
      <c r="Y35" s="232"/>
      <c r="Z35" s="228" t="s">
        <v>604</v>
      </c>
      <c r="AA35" s="229"/>
      <c r="AB35" s="229"/>
      <c r="AE35" s="184"/>
      <c r="AF35" s="184"/>
    </row>
    <row r="36" spans="1:32" s="1" customFormat="1" ht="19.5" customHeight="1" x14ac:dyDescent="0.3">
      <c r="A36" s="409"/>
      <c r="B36" s="396"/>
      <c r="C36" s="376"/>
      <c r="D36" s="225" t="s">
        <v>46</v>
      </c>
      <c r="E36" s="386" t="s">
        <v>88</v>
      </c>
      <c r="F36" s="384">
        <v>2</v>
      </c>
      <c r="G36" s="386" t="s">
        <v>35</v>
      </c>
      <c r="H36" s="386">
        <v>18</v>
      </c>
      <c r="I36" s="386"/>
      <c r="J36" s="384"/>
      <c r="K36" s="384"/>
      <c r="L36" s="384"/>
      <c r="M36" s="384"/>
      <c r="N36" s="230"/>
      <c r="O36" s="230"/>
      <c r="P36" s="230"/>
      <c r="Q36" s="230"/>
      <c r="R36" s="230"/>
      <c r="S36" s="230"/>
      <c r="T36" s="231"/>
      <c r="U36" s="384"/>
      <c r="V36" s="384"/>
      <c r="W36" s="384"/>
      <c r="X36" s="384"/>
      <c r="Y36" s="232"/>
      <c r="Z36" s="228" t="s">
        <v>604</v>
      </c>
      <c r="AA36" s="229"/>
      <c r="AB36" s="229"/>
      <c r="AE36" s="184"/>
      <c r="AF36" s="184"/>
    </row>
    <row r="37" spans="1:32" s="1" customFormat="1" ht="19.5" customHeight="1" x14ac:dyDescent="0.3">
      <c r="A37" s="409"/>
      <c r="B37" s="396"/>
      <c r="C37" s="376"/>
      <c r="D37" s="225" t="s">
        <v>114</v>
      </c>
      <c r="E37" s="384" t="s">
        <v>155</v>
      </c>
      <c r="F37" s="384">
        <v>2</v>
      </c>
      <c r="G37" s="386" t="s">
        <v>35</v>
      </c>
      <c r="H37" s="384">
        <v>27</v>
      </c>
      <c r="I37" s="386"/>
      <c r="J37" s="384"/>
      <c r="K37" s="384"/>
      <c r="L37" s="384"/>
      <c r="M37" s="384"/>
      <c r="N37" s="230"/>
      <c r="O37" s="230"/>
      <c r="P37" s="230"/>
      <c r="Q37" s="230"/>
      <c r="R37" s="230"/>
      <c r="S37" s="230"/>
      <c r="T37" s="231"/>
      <c r="U37" s="384"/>
      <c r="V37" s="384"/>
      <c r="W37" s="384"/>
      <c r="X37" s="384"/>
      <c r="Y37" s="232"/>
      <c r="Z37" s="228" t="s">
        <v>604</v>
      </c>
      <c r="AA37" s="229"/>
      <c r="AB37" s="229"/>
      <c r="AE37" s="184"/>
      <c r="AF37" s="184"/>
    </row>
    <row r="38" spans="1:32" s="1" customFormat="1" ht="19.5" customHeight="1" x14ac:dyDescent="0.3">
      <c r="A38" s="409"/>
      <c r="B38" s="396"/>
      <c r="C38" s="376"/>
      <c r="D38" s="225" t="s">
        <v>44</v>
      </c>
      <c r="E38" s="386" t="s">
        <v>87</v>
      </c>
      <c r="F38" s="384">
        <v>2</v>
      </c>
      <c r="G38" s="386" t="s">
        <v>35</v>
      </c>
      <c r="H38" s="384">
        <v>20</v>
      </c>
      <c r="I38" s="386"/>
      <c r="J38" s="384"/>
      <c r="K38" s="384"/>
      <c r="L38" s="384"/>
      <c r="M38" s="384"/>
      <c r="N38" s="230"/>
      <c r="O38" s="230"/>
      <c r="P38" s="230"/>
      <c r="Q38" s="230"/>
      <c r="R38" s="230"/>
      <c r="S38" s="230"/>
      <c r="T38" s="231"/>
      <c r="U38" s="384"/>
      <c r="V38" s="384"/>
      <c r="W38" s="384"/>
      <c r="X38" s="384"/>
      <c r="Y38" s="232"/>
      <c r="Z38" s="228" t="s">
        <v>604</v>
      </c>
      <c r="AA38" s="229"/>
      <c r="AB38" s="229"/>
      <c r="AE38" s="184"/>
      <c r="AF38" s="184"/>
    </row>
    <row r="39" spans="1:32" s="1" customFormat="1" ht="19.5" customHeight="1" x14ac:dyDescent="0.3">
      <c r="A39" s="409"/>
      <c r="B39" s="396"/>
      <c r="C39" s="376"/>
      <c r="D39" s="384" t="s">
        <v>43</v>
      </c>
      <c r="E39" s="384" t="s">
        <v>111</v>
      </c>
      <c r="F39" s="384">
        <v>2</v>
      </c>
      <c r="G39" s="384" t="s">
        <v>35</v>
      </c>
      <c r="H39" s="384">
        <v>12</v>
      </c>
      <c r="I39" s="386"/>
      <c r="J39" s="384">
        <v>38</v>
      </c>
      <c r="K39" s="384"/>
      <c r="L39" s="384"/>
      <c r="M39" s="384"/>
      <c r="N39" s="384"/>
      <c r="O39" s="384">
        <v>7</v>
      </c>
      <c r="P39" s="384"/>
      <c r="Q39" s="230"/>
      <c r="R39" s="230"/>
      <c r="S39" s="230"/>
      <c r="T39" s="231"/>
      <c r="U39" s="384"/>
      <c r="V39" s="384"/>
      <c r="W39" s="384"/>
      <c r="X39" s="384"/>
      <c r="Y39" s="232">
        <v>2</v>
      </c>
      <c r="Z39" s="228" t="s">
        <v>607</v>
      </c>
      <c r="AA39" s="229"/>
      <c r="AB39" s="229"/>
      <c r="AE39" s="184"/>
      <c r="AF39" s="184"/>
    </row>
    <row r="40" spans="1:32" s="1" customFormat="1" ht="19.5" customHeight="1" x14ac:dyDescent="0.3">
      <c r="A40" s="409"/>
      <c r="B40" s="396"/>
      <c r="C40" s="376"/>
      <c r="D40" s="225" t="s">
        <v>46</v>
      </c>
      <c r="E40" s="386" t="s">
        <v>86</v>
      </c>
      <c r="F40" s="384">
        <v>2</v>
      </c>
      <c r="G40" s="386" t="s">
        <v>35</v>
      </c>
      <c r="H40" s="386">
        <v>19</v>
      </c>
      <c r="I40" s="386"/>
      <c r="J40" s="384"/>
      <c r="K40" s="384"/>
      <c r="L40" s="384"/>
      <c r="M40" s="384"/>
      <c r="N40" s="230"/>
      <c r="O40" s="230"/>
      <c r="P40" s="230"/>
      <c r="Q40" s="230"/>
      <c r="R40" s="230"/>
      <c r="S40" s="230"/>
      <c r="T40" s="231"/>
      <c r="U40" s="384"/>
      <c r="V40" s="384"/>
      <c r="W40" s="384"/>
      <c r="X40" s="384"/>
      <c r="Y40" s="232">
        <v>0</v>
      </c>
      <c r="Z40" s="228" t="s">
        <v>607</v>
      </c>
      <c r="AA40" s="229"/>
      <c r="AB40" s="229"/>
      <c r="AE40" s="184"/>
      <c r="AF40" s="184"/>
    </row>
    <row r="41" spans="1:32" s="1" customFormat="1" ht="19.5" customHeight="1" x14ac:dyDescent="0.3">
      <c r="A41" s="409"/>
      <c r="B41" s="396"/>
      <c r="C41" s="376"/>
      <c r="D41" s="225" t="s">
        <v>46</v>
      </c>
      <c r="E41" s="386" t="s">
        <v>88</v>
      </c>
      <c r="F41" s="384">
        <v>2</v>
      </c>
      <c r="G41" s="386" t="s">
        <v>35</v>
      </c>
      <c r="H41" s="386">
        <v>18</v>
      </c>
      <c r="I41" s="386"/>
      <c r="J41" s="384"/>
      <c r="K41" s="384"/>
      <c r="L41" s="384"/>
      <c r="M41" s="384"/>
      <c r="N41" s="230"/>
      <c r="O41" s="230"/>
      <c r="P41" s="230"/>
      <c r="Q41" s="230"/>
      <c r="R41" s="230"/>
      <c r="S41" s="230"/>
      <c r="T41" s="231"/>
      <c r="U41" s="384"/>
      <c r="V41" s="384"/>
      <c r="W41" s="384"/>
      <c r="X41" s="384"/>
      <c r="Y41" s="232"/>
      <c r="Z41" s="228" t="s">
        <v>607</v>
      </c>
      <c r="AA41" s="229"/>
      <c r="AB41" s="229"/>
      <c r="AE41" s="184"/>
      <c r="AF41" s="184"/>
    </row>
    <row r="42" spans="1:32" s="1" customFormat="1" ht="19.5" customHeight="1" x14ac:dyDescent="0.3">
      <c r="A42" s="409"/>
      <c r="B42" s="396"/>
      <c r="C42" s="376"/>
      <c r="D42" s="225" t="s">
        <v>114</v>
      </c>
      <c r="E42" s="384" t="s">
        <v>155</v>
      </c>
      <c r="F42" s="384">
        <v>2</v>
      </c>
      <c r="G42" s="386" t="s">
        <v>35</v>
      </c>
      <c r="H42" s="384">
        <v>27</v>
      </c>
      <c r="I42" s="386"/>
      <c r="J42" s="384">
        <v>38</v>
      </c>
      <c r="K42" s="384"/>
      <c r="L42" s="384"/>
      <c r="M42" s="384"/>
      <c r="N42" s="384"/>
      <c r="O42" s="384">
        <v>7</v>
      </c>
      <c r="P42" s="230"/>
      <c r="Q42" s="230"/>
      <c r="R42" s="230"/>
      <c r="S42" s="230"/>
      <c r="T42" s="231"/>
      <c r="U42" s="384"/>
      <c r="V42" s="384"/>
      <c r="W42" s="384"/>
      <c r="X42" s="384"/>
      <c r="Y42" s="232">
        <v>1.5</v>
      </c>
      <c r="Z42" s="228" t="s">
        <v>607</v>
      </c>
      <c r="AA42" s="229"/>
      <c r="AB42" s="229"/>
      <c r="AE42" s="184"/>
      <c r="AF42" s="184"/>
    </row>
    <row r="43" spans="1:32" s="1" customFormat="1" ht="19.5" customHeight="1" x14ac:dyDescent="0.3">
      <c r="A43" s="409"/>
      <c r="B43" s="396"/>
      <c r="C43" s="376"/>
      <c r="D43" s="225" t="s">
        <v>44</v>
      </c>
      <c r="E43" s="386" t="s">
        <v>87</v>
      </c>
      <c r="F43" s="384">
        <v>2</v>
      </c>
      <c r="G43" s="386" t="s">
        <v>35</v>
      </c>
      <c r="H43" s="384">
        <v>20</v>
      </c>
      <c r="I43" s="386"/>
      <c r="J43" s="384"/>
      <c r="K43" s="384"/>
      <c r="L43" s="384"/>
      <c r="M43" s="384"/>
      <c r="N43" s="230"/>
      <c r="O43" s="230"/>
      <c r="P43" s="230"/>
      <c r="Q43" s="230"/>
      <c r="R43" s="230"/>
      <c r="S43" s="230"/>
      <c r="T43" s="231"/>
      <c r="U43" s="384"/>
      <c r="V43" s="384"/>
      <c r="W43" s="384"/>
      <c r="X43" s="384"/>
      <c r="Y43" s="232"/>
      <c r="Z43" s="228" t="s">
        <v>607</v>
      </c>
      <c r="AA43" s="229"/>
      <c r="AB43" s="229"/>
      <c r="AE43" s="184"/>
      <c r="AF43" s="184"/>
    </row>
    <row r="44" spans="1:32" s="1" customFormat="1" ht="19.5" customHeight="1" x14ac:dyDescent="0.3">
      <c r="A44" s="409"/>
      <c r="B44" s="396"/>
      <c r="C44" s="376"/>
      <c r="D44" s="384" t="s">
        <v>60</v>
      </c>
      <c r="E44" s="384" t="s">
        <v>98</v>
      </c>
      <c r="F44" s="384">
        <v>2</v>
      </c>
      <c r="G44" s="386" t="s">
        <v>35</v>
      </c>
      <c r="H44" s="386">
        <v>15</v>
      </c>
      <c r="I44" s="386">
        <v>15</v>
      </c>
      <c r="J44" s="384"/>
      <c r="K44" s="384"/>
      <c r="L44" s="384"/>
      <c r="M44" s="384"/>
      <c r="N44" s="230"/>
      <c r="O44" s="230"/>
      <c r="P44" s="230"/>
      <c r="Q44" s="230"/>
      <c r="R44" s="230"/>
      <c r="S44" s="230"/>
      <c r="T44" s="231"/>
      <c r="U44" s="384"/>
      <c r="V44" s="384"/>
      <c r="W44" s="384"/>
      <c r="X44" s="384"/>
      <c r="Y44" s="232"/>
      <c r="Z44" s="228" t="s">
        <v>604</v>
      </c>
      <c r="AA44" s="229"/>
      <c r="AB44" s="229"/>
      <c r="AE44" s="184"/>
      <c r="AF44" s="184"/>
    </row>
    <row r="45" spans="1:32" s="1" customFormat="1" ht="19.5" customHeight="1" x14ac:dyDescent="0.3">
      <c r="A45" s="409"/>
      <c r="B45" s="396"/>
      <c r="C45" s="376"/>
      <c r="D45" s="386" t="s">
        <v>210</v>
      </c>
      <c r="E45" s="386" t="s">
        <v>251</v>
      </c>
      <c r="F45" s="384">
        <v>2</v>
      </c>
      <c r="G45" s="386" t="s">
        <v>35</v>
      </c>
      <c r="H45" s="386">
        <v>6</v>
      </c>
      <c r="I45" s="386"/>
      <c r="J45" s="384"/>
      <c r="K45" s="384"/>
      <c r="L45" s="384"/>
      <c r="M45" s="384"/>
      <c r="N45" s="230"/>
      <c r="O45" s="230"/>
      <c r="P45" s="230"/>
      <c r="Q45" s="230"/>
      <c r="R45" s="230"/>
      <c r="S45" s="230"/>
      <c r="T45" s="231"/>
      <c r="U45" s="384"/>
      <c r="V45" s="384"/>
      <c r="W45" s="384"/>
      <c r="X45" s="384"/>
      <c r="Y45" s="232"/>
      <c r="Z45" s="228" t="s">
        <v>604</v>
      </c>
      <c r="AA45" s="229"/>
      <c r="AB45" s="229"/>
      <c r="AE45" s="184"/>
      <c r="AF45" s="184"/>
    </row>
    <row r="46" spans="1:32" s="1" customFormat="1" ht="19.5" customHeight="1" x14ac:dyDescent="0.3">
      <c r="A46" s="409"/>
      <c r="B46" s="396"/>
      <c r="C46" s="376"/>
      <c r="D46" s="384" t="s">
        <v>49</v>
      </c>
      <c r="E46" s="384" t="s">
        <v>91</v>
      </c>
      <c r="F46" s="384">
        <v>2</v>
      </c>
      <c r="G46" s="384" t="s">
        <v>35</v>
      </c>
      <c r="H46" s="384">
        <v>18</v>
      </c>
      <c r="I46" s="386"/>
      <c r="J46" s="384"/>
      <c r="K46" s="384"/>
      <c r="L46" s="384"/>
      <c r="M46" s="384"/>
      <c r="N46" s="230"/>
      <c r="O46" s="230"/>
      <c r="P46" s="230"/>
      <c r="Q46" s="230"/>
      <c r="R46" s="230"/>
      <c r="S46" s="230"/>
      <c r="T46" s="231"/>
      <c r="U46" s="384"/>
      <c r="V46" s="384"/>
      <c r="W46" s="384"/>
      <c r="X46" s="384"/>
      <c r="Y46" s="232"/>
      <c r="Z46" s="228" t="s">
        <v>604</v>
      </c>
      <c r="AA46" s="229"/>
      <c r="AB46" s="229"/>
      <c r="AE46" s="184"/>
      <c r="AF46" s="184"/>
    </row>
    <row r="47" spans="1:32" s="1" customFormat="1" ht="19.5" customHeight="1" x14ac:dyDescent="0.3">
      <c r="A47" s="409"/>
      <c r="B47" s="396"/>
      <c r="C47" s="376"/>
      <c r="D47" s="384" t="s">
        <v>198</v>
      </c>
      <c r="E47" s="384" t="s">
        <v>90</v>
      </c>
      <c r="F47" s="384">
        <v>2</v>
      </c>
      <c r="G47" s="386" t="s">
        <v>35</v>
      </c>
      <c r="H47" s="384">
        <v>10</v>
      </c>
      <c r="I47" s="386"/>
      <c r="J47" s="384"/>
      <c r="K47" s="384"/>
      <c r="L47" s="384"/>
      <c r="M47" s="384"/>
      <c r="N47" s="230"/>
      <c r="O47" s="230"/>
      <c r="P47" s="230"/>
      <c r="Q47" s="230"/>
      <c r="R47" s="230"/>
      <c r="S47" s="230"/>
      <c r="T47" s="231"/>
      <c r="U47" s="384"/>
      <c r="V47" s="384"/>
      <c r="W47" s="384"/>
      <c r="X47" s="384"/>
      <c r="Y47" s="232"/>
      <c r="Z47" s="228" t="s">
        <v>604</v>
      </c>
      <c r="AA47" s="229"/>
      <c r="AB47" s="229"/>
      <c r="AE47" s="184"/>
      <c r="AF47" s="184"/>
    </row>
    <row r="48" spans="1:32" s="1" customFormat="1" ht="19.5" customHeight="1" x14ac:dyDescent="0.3">
      <c r="A48" s="409"/>
      <c r="B48" s="396"/>
      <c r="C48" s="376"/>
      <c r="D48" s="386" t="s">
        <v>81</v>
      </c>
      <c r="E48" s="386" t="s">
        <v>204</v>
      </c>
      <c r="F48" s="384">
        <v>2</v>
      </c>
      <c r="G48" s="386" t="s">
        <v>35</v>
      </c>
      <c r="H48" s="384">
        <v>25</v>
      </c>
      <c r="I48" s="386"/>
      <c r="J48" s="384"/>
      <c r="K48" s="384"/>
      <c r="L48" s="384"/>
      <c r="M48" s="384"/>
      <c r="N48" s="230"/>
      <c r="O48" s="230"/>
      <c r="P48" s="230"/>
      <c r="Q48" s="230"/>
      <c r="R48" s="230"/>
      <c r="S48" s="230"/>
      <c r="T48" s="231"/>
      <c r="U48" s="384"/>
      <c r="V48" s="384"/>
      <c r="W48" s="384"/>
      <c r="X48" s="384"/>
      <c r="Y48" s="232"/>
      <c r="Z48" s="228" t="s">
        <v>604</v>
      </c>
      <c r="AA48" s="229"/>
      <c r="AB48" s="229"/>
      <c r="AE48" s="184"/>
      <c r="AF48" s="184"/>
    </row>
    <row r="49" spans="1:32" s="1" customFormat="1" ht="19.5" customHeight="1" x14ac:dyDescent="0.3">
      <c r="A49" s="409"/>
      <c r="B49" s="396"/>
      <c r="C49" s="376"/>
      <c r="D49" s="386" t="s">
        <v>81</v>
      </c>
      <c r="E49" s="386" t="s">
        <v>205</v>
      </c>
      <c r="F49" s="384">
        <v>2</v>
      </c>
      <c r="G49" s="386" t="s">
        <v>35</v>
      </c>
      <c r="H49" s="384">
        <v>25</v>
      </c>
      <c r="I49" s="386"/>
      <c r="J49" s="384"/>
      <c r="K49" s="384"/>
      <c r="L49" s="384"/>
      <c r="M49" s="384"/>
      <c r="N49" s="230"/>
      <c r="O49" s="230"/>
      <c r="P49" s="230"/>
      <c r="Q49" s="230"/>
      <c r="R49" s="230"/>
      <c r="S49" s="230"/>
      <c r="T49" s="231"/>
      <c r="U49" s="384"/>
      <c r="V49" s="384"/>
      <c r="W49" s="384"/>
      <c r="X49" s="384"/>
      <c r="Y49" s="232"/>
      <c r="Z49" s="228" t="s">
        <v>604</v>
      </c>
      <c r="AA49" s="229"/>
      <c r="AB49" s="229"/>
      <c r="AE49" s="184"/>
      <c r="AF49" s="184"/>
    </row>
    <row r="50" spans="1:32" s="1" customFormat="1" ht="19.5" customHeight="1" x14ac:dyDescent="0.3">
      <c r="A50" s="409"/>
      <c r="B50" s="396"/>
      <c r="C50" s="376"/>
      <c r="D50" s="386" t="s">
        <v>81</v>
      </c>
      <c r="E50" s="386" t="s">
        <v>206</v>
      </c>
      <c r="F50" s="384">
        <v>2</v>
      </c>
      <c r="G50" s="386" t="s">
        <v>35</v>
      </c>
      <c r="H50" s="384">
        <v>25</v>
      </c>
      <c r="I50" s="386"/>
      <c r="J50" s="384"/>
      <c r="K50" s="384"/>
      <c r="L50" s="384"/>
      <c r="M50" s="384"/>
      <c r="N50" s="230"/>
      <c r="O50" s="230"/>
      <c r="P50" s="230"/>
      <c r="Q50" s="230"/>
      <c r="R50" s="230"/>
      <c r="S50" s="230"/>
      <c r="T50" s="231"/>
      <c r="U50" s="384"/>
      <c r="V50" s="384"/>
      <c r="W50" s="384"/>
      <c r="X50" s="384"/>
      <c r="Y50" s="232"/>
      <c r="Z50" s="228" t="s">
        <v>604</v>
      </c>
      <c r="AA50" s="229"/>
      <c r="AB50" s="229"/>
      <c r="AE50" s="184"/>
      <c r="AF50" s="184"/>
    </row>
    <row r="51" spans="1:32" s="1" customFormat="1" ht="19.5" customHeight="1" x14ac:dyDescent="0.3">
      <c r="A51" s="409"/>
      <c r="B51" s="396"/>
      <c r="C51" s="376"/>
      <c r="D51" s="384" t="s">
        <v>61</v>
      </c>
      <c r="E51" s="384" t="s">
        <v>153</v>
      </c>
      <c r="F51" s="384">
        <v>2</v>
      </c>
      <c r="G51" s="386" t="s">
        <v>35</v>
      </c>
      <c r="H51" s="386">
        <v>11</v>
      </c>
      <c r="I51" s="386"/>
      <c r="J51" s="384"/>
      <c r="K51" s="384"/>
      <c r="L51" s="384"/>
      <c r="M51" s="384"/>
      <c r="N51" s="230"/>
      <c r="O51" s="230"/>
      <c r="P51" s="230"/>
      <c r="Q51" s="230"/>
      <c r="R51" s="230"/>
      <c r="S51" s="230"/>
      <c r="T51" s="231"/>
      <c r="U51" s="384"/>
      <c r="V51" s="384"/>
      <c r="W51" s="384"/>
      <c r="X51" s="384"/>
      <c r="Y51" s="232"/>
      <c r="Z51" s="228" t="s">
        <v>604</v>
      </c>
      <c r="AA51" s="229"/>
      <c r="AB51" s="229"/>
      <c r="AE51" s="184"/>
      <c r="AF51" s="184"/>
    </row>
    <row r="52" spans="1:32" s="1" customFormat="1" ht="19.5" customHeight="1" x14ac:dyDescent="0.3">
      <c r="A52" s="409"/>
      <c r="B52" s="396"/>
      <c r="C52" s="376"/>
      <c r="D52" s="384" t="s">
        <v>60</v>
      </c>
      <c r="E52" s="384" t="s">
        <v>98</v>
      </c>
      <c r="F52" s="384">
        <v>2</v>
      </c>
      <c r="G52" s="386" t="s">
        <v>35</v>
      </c>
      <c r="H52" s="386">
        <v>15</v>
      </c>
      <c r="I52" s="386"/>
      <c r="J52" s="384">
        <v>38</v>
      </c>
      <c r="K52" s="384"/>
      <c r="L52" s="384"/>
      <c r="M52" s="384"/>
      <c r="N52" s="384"/>
      <c r="O52" s="384">
        <v>7</v>
      </c>
      <c r="P52" s="384"/>
      <c r="Q52" s="230"/>
      <c r="R52" s="230"/>
      <c r="S52" s="230"/>
      <c r="T52" s="231"/>
      <c r="U52" s="384"/>
      <c r="V52" s="384"/>
      <c r="W52" s="384"/>
      <c r="X52" s="384"/>
      <c r="Y52" s="232">
        <v>2</v>
      </c>
      <c r="Z52" s="228" t="s">
        <v>608</v>
      </c>
      <c r="AA52" s="229"/>
      <c r="AB52" s="229"/>
      <c r="AE52" s="184"/>
      <c r="AF52" s="184"/>
    </row>
    <row r="53" spans="1:32" s="1" customFormat="1" ht="19.5" customHeight="1" x14ac:dyDescent="0.3">
      <c r="A53" s="409"/>
      <c r="B53" s="396"/>
      <c r="C53" s="376"/>
      <c r="D53" s="386" t="s">
        <v>210</v>
      </c>
      <c r="E53" s="386" t="s">
        <v>251</v>
      </c>
      <c r="F53" s="384">
        <v>2</v>
      </c>
      <c r="G53" s="386" t="s">
        <v>35</v>
      </c>
      <c r="H53" s="386">
        <v>6</v>
      </c>
      <c r="I53" s="386"/>
      <c r="J53" s="384"/>
      <c r="K53" s="384"/>
      <c r="L53" s="384"/>
      <c r="M53" s="384"/>
      <c r="N53" s="230"/>
      <c r="O53" s="230"/>
      <c r="P53" s="230"/>
      <c r="Q53" s="230"/>
      <c r="R53" s="230"/>
      <c r="S53" s="230"/>
      <c r="T53" s="231"/>
      <c r="U53" s="384"/>
      <c r="V53" s="384"/>
      <c r="W53" s="384"/>
      <c r="X53" s="384"/>
      <c r="Y53" s="232">
        <v>0</v>
      </c>
      <c r="Z53" s="228" t="s">
        <v>608</v>
      </c>
      <c r="AA53" s="229"/>
      <c r="AB53" s="229"/>
      <c r="AE53" s="184"/>
      <c r="AF53" s="184"/>
    </row>
    <row r="54" spans="1:32" s="1" customFormat="1" ht="19.5" customHeight="1" x14ac:dyDescent="0.3">
      <c r="A54" s="409"/>
      <c r="B54" s="396"/>
      <c r="C54" s="376"/>
      <c r="D54" s="384" t="s">
        <v>49</v>
      </c>
      <c r="E54" s="384" t="s">
        <v>91</v>
      </c>
      <c r="F54" s="384">
        <v>2</v>
      </c>
      <c r="G54" s="384" t="s">
        <v>35</v>
      </c>
      <c r="H54" s="384">
        <v>18</v>
      </c>
      <c r="I54" s="386"/>
      <c r="J54" s="384"/>
      <c r="K54" s="384"/>
      <c r="L54" s="384"/>
      <c r="M54" s="384"/>
      <c r="N54" s="230"/>
      <c r="O54" s="230"/>
      <c r="P54" s="230"/>
      <c r="Q54" s="230"/>
      <c r="R54" s="230"/>
      <c r="S54" s="230"/>
      <c r="T54" s="231"/>
      <c r="U54" s="384"/>
      <c r="V54" s="384"/>
      <c r="W54" s="384"/>
      <c r="X54" s="384"/>
      <c r="Y54" s="232">
        <v>0</v>
      </c>
      <c r="Z54" s="228" t="s">
        <v>608</v>
      </c>
      <c r="AA54" s="229"/>
      <c r="AB54" s="229"/>
      <c r="AE54" s="184"/>
      <c r="AF54" s="184"/>
    </row>
    <row r="55" spans="1:32" s="1" customFormat="1" ht="19.5" customHeight="1" x14ac:dyDescent="0.3">
      <c r="A55" s="409"/>
      <c r="B55" s="396"/>
      <c r="C55" s="376"/>
      <c r="D55" s="384" t="s">
        <v>198</v>
      </c>
      <c r="E55" s="384" t="s">
        <v>90</v>
      </c>
      <c r="F55" s="384">
        <v>2</v>
      </c>
      <c r="G55" s="386" t="s">
        <v>35</v>
      </c>
      <c r="H55" s="384">
        <v>10</v>
      </c>
      <c r="I55" s="386"/>
      <c r="J55" s="384"/>
      <c r="K55" s="384"/>
      <c r="L55" s="384"/>
      <c r="M55" s="384"/>
      <c r="N55" s="230"/>
      <c r="O55" s="230"/>
      <c r="P55" s="230"/>
      <c r="Q55" s="230"/>
      <c r="R55" s="230"/>
      <c r="S55" s="230"/>
      <c r="T55" s="231"/>
      <c r="U55" s="384"/>
      <c r="V55" s="384"/>
      <c r="W55" s="384"/>
      <c r="X55" s="384"/>
      <c r="Y55" s="232">
        <v>0</v>
      </c>
      <c r="Z55" s="228" t="s">
        <v>608</v>
      </c>
      <c r="AA55" s="229"/>
      <c r="AB55" s="229"/>
      <c r="AE55" s="184"/>
      <c r="AF55" s="184"/>
    </row>
    <row r="56" spans="1:32" s="1" customFormat="1" ht="19.5" customHeight="1" x14ac:dyDescent="0.3">
      <c r="A56" s="409"/>
      <c r="B56" s="396"/>
      <c r="C56" s="376"/>
      <c r="D56" s="386" t="s">
        <v>81</v>
      </c>
      <c r="E56" s="386" t="s">
        <v>204</v>
      </c>
      <c r="F56" s="384">
        <v>2</v>
      </c>
      <c r="G56" s="386" t="s">
        <v>35</v>
      </c>
      <c r="H56" s="384">
        <v>25</v>
      </c>
      <c r="I56" s="386"/>
      <c r="J56" s="384">
        <v>38</v>
      </c>
      <c r="K56" s="384"/>
      <c r="L56" s="384"/>
      <c r="M56" s="384"/>
      <c r="N56" s="384"/>
      <c r="O56" s="384">
        <v>7</v>
      </c>
      <c r="P56" s="230"/>
      <c r="Q56" s="230"/>
      <c r="R56" s="230"/>
      <c r="S56" s="230"/>
      <c r="T56" s="231"/>
      <c r="U56" s="384"/>
      <c r="V56" s="384"/>
      <c r="W56" s="384"/>
      <c r="X56" s="384"/>
      <c r="Y56" s="232">
        <v>1.5</v>
      </c>
      <c r="Z56" s="228" t="s">
        <v>608</v>
      </c>
      <c r="AA56" s="229"/>
      <c r="AB56" s="229"/>
      <c r="AE56" s="184"/>
      <c r="AF56" s="184"/>
    </row>
    <row r="57" spans="1:32" s="1" customFormat="1" ht="19.5" customHeight="1" x14ac:dyDescent="0.25">
      <c r="A57" s="409"/>
      <c r="B57" s="396"/>
      <c r="C57" s="376"/>
      <c r="D57" s="386" t="s">
        <v>81</v>
      </c>
      <c r="E57" s="386" t="s">
        <v>205</v>
      </c>
      <c r="F57" s="384">
        <v>2</v>
      </c>
      <c r="G57" s="386" t="s">
        <v>35</v>
      </c>
      <c r="H57" s="384">
        <v>25</v>
      </c>
      <c r="I57" s="386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8" t="s">
        <v>608</v>
      </c>
      <c r="AA57" s="229"/>
      <c r="AB57" s="229"/>
      <c r="AE57" s="184"/>
      <c r="AF57" s="184"/>
    </row>
    <row r="58" spans="1:32" s="1" customFormat="1" ht="19.5" customHeight="1" x14ac:dyDescent="0.3">
      <c r="A58" s="409"/>
      <c r="B58" s="396"/>
      <c r="C58" s="376"/>
      <c r="D58" s="386" t="s">
        <v>81</v>
      </c>
      <c r="E58" s="386" t="s">
        <v>206</v>
      </c>
      <c r="F58" s="384">
        <v>2</v>
      </c>
      <c r="G58" s="386" t="s">
        <v>35</v>
      </c>
      <c r="H58" s="384">
        <v>25</v>
      </c>
      <c r="I58" s="386"/>
      <c r="J58" s="384">
        <v>38</v>
      </c>
      <c r="K58" s="384"/>
      <c r="L58" s="384"/>
      <c r="M58" s="384"/>
      <c r="N58" s="384"/>
      <c r="O58" s="384">
        <v>7</v>
      </c>
      <c r="P58" s="230"/>
      <c r="Q58" s="230"/>
      <c r="R58" s="230"/>
      <c r="S58" s="230"/>
      <c r="T58" s="231"/>
      <c r="U58" s="384"/>
      <c r="V58" s="384"/>
      <c r="W58" s="384"/>
      <c r="X58" s="384"/>
      <c r="Y58" s="232">
        <v>1.5</v>
      </c>
      <c r="Z58" s="228" t="s">
        <v>608</v>
      </c>
      <c r="AA58" s="229"/>
      <c r="AB58" s="229"/>
      <c r="AE58" s="184"/>
      <c r="AF58" s="184"/>
    </row>
    <row r="59" spans="1:32" s="1" customFormat="1" ht="19.5" customHeight="1" x14ac:dyDescent="0.3">
      <c r="A59" s="409"/>
      <c r="B59" s="396"/>
      <c r="C59" s="376"/>
      <c r="D59" s="384" t="s">
        <v>61</v>
      </c>
      <c r="E59" s="384" t="s">
        <v>153</v>
      </c>
      <c r="F59" s="384">
        <v>2</v>
      </c>
      <c r="G59" s="386" t="s">
        <v>35</v>
      </c>
      <c r="H59" s="386">
        <v>11</v>
      </c>
      <c r="I59" s="386"/>
      <c r="J59" s="384"/>
      <c r="K59" s="384"/>
      <c r="L59" s="384"/>
      <c r="M59" s="384"/>
      <c r="N59" s="384"/>
      <c r="O59" s="384"/>
      <c r="P59" s="384"/>
      <c r="Q59" s="230"/>
      <c r="R59" s="230"/>
      <c r="S59" s="230"/>
      <c r="T59" s="231"/>
      <c r="U59" s="384"/>
      <c r="V59" s="384"/>
      <c r="W59" s="384"/>
      <c r="X59" s="384"/>
      <c r="Y59" s="232">
        <v>0</v>
      </c>
      <c r="Z59" s="228" t="s">
        <v>608</v>
      </c>
      <c r="AA59" s="229"/>
      <c r="AB59" s="229"/>
      <c r="AE59" s="184"/>
      <c r="AF59" s="184"/>
    </row>
    <row r="60" spans="1:32" s="1" customFormat="1" ht="19.5" customHeight="1" x14ac:dyDescent="0.3">
      <c r="A60" s="409"/>
      <c r="B60" s="396"/>
      <c r="C60" s="376"/>
      <c r="D60" s="225" t="s">
        <v>52</v>
      </c>
      <c r="E60" s="386" t="s">
        <v>303</v>
      </c>
      <c r="F60" s="384">
        <v>2</v>
      </c>
      <c r="G60" s="386" t="s">
        <v>35</v>
      </c>
      <c r="H60" s="386">
        <v>30</v>
      </c>
      <c r="I60" s="386">
        <v>15</v>
      </c>
      <c r="J60" s="384"/>
      <c r="K60" s="384"/>
      <c r="L60" s="384"/>
      <c r="M60" s="384"/>
      <c r="N60" s="384"/>
      <c r="O60" s="384"/>
      <c r="P60" s="384"/>
      <c r="Q60" s="230"/>
      <c r="R60" s="230"/>
      <c r="S60" s="230"/>
      <c r="T60" s="231"/>
      <c r="U60" s="384"/>
      <c r="V60" s="384"/>
      <c r="W60" s="384"/>
      <c r="X60" s="384"/>
      <c r="Y60" s="232"/>
      <c r="Z60" s="228" t="s">
        <v>604</v>
      </c>
      <c r="AA60" s="229"/>
      <c r="AB60" s="229"/>
      <c r="AC60" s="17"/>
      <c r="AD60" s="17"/>
      <c r="AE60" s="185"/>
      <c r="AF60" s="184"/>
    </row>
    <row r="61" spans="1:32" s="1" customFormat="1" ht="19.5" customHeight="1" x14ac:dyDescent="0.3">
      <c r="A61" s="409"/>
      <c r="B61" s="396"/>
      <c r="C61" s="376"/>
      <c r="D61" s="225" t="s">
        <v>52</v>
      </c>
      <c r="E61" s="386" t="s">
        <v>321</v>
      </c>
      <c r="F61" s="384">
        <v>2</v>
      </c>
      <c r="G61" s="386" t="s">
        <v>35</v>
      </c>
      <c r="H61" s="386">
        <v>29</v>
      </c>
      <c r="I61" s="386"/>
      <c r="J61" s="384"/>
      <c r="K61" s="384"/>
      <c r="L61" s="384"/>
      <c r="M61" s="384"/>
      <c r="N61" s="384"/>
      <c r="O61" s="384"/>
      <c r="P61" s="384"/>
      <c r="Q61" s="230"/>
      <c r="R61" s="230"/>
      <c r="S61" s="230"/>
      <c r="T61" s="231"/>
      <c r="U61" s="384"/>
      <c r="V61" s="384"/>
      <c r="W61" s="384"/>
      <c r="X61" s="384"/>
      <c r="Y61" s="232"/>
      <c r="Z61" s="228" t="s">
        <v>604</v>
      </c>
      <c r="AA61" s="229"/>
      <c r="AB61" s="229"/>
      <c r="AC61" s="17"/>
      <c r="AD61" s="17"/>
      <c r="AE61" s="185"/>
      <c r="AF61" s="184"/>
    </row>
    <row r="62" spans="1:32" s="1" customFormat="1" ht="19.5" customHeight="1" x14ac:dyDescent="0.3">
      <c r="A62" s="409"/>
      <c r="B62" s="396"/>
      <c r="C62" s="376"/>
      <c r="D62" s="386" t="s">
        <v>81</v>
      </c>
      <c r="E62" s="386" t="s">
        <v>529</v>
      </c>
      <c r="F62" s="384">
        <v>2</v>
      </c>
      <c r="G62" s="386" t="s">
        <v>35</v>
      </c>
      <c r="H62" s="386">
        <v>25</v>
      </c>
      <c r="I62" s="386"/>
      <c r="J62" s="384"/>
      <c r="K62" s="384"/>
      <c r="L62" s="384"/>
      <c r="M62" s="384"/>
      <c r="N62" s="384"/>
      <c r="O62" s="384"/>
      <c r="P62" s="384"/>
      <c r="Q62" s="230"/>
      <c r="R62" s="230"/>
      <c r="S62" s="230"/>
      <c r="T62" s="231"/>
      <c r="U62" s="384"/>
      <c r="V62" s="384"/>
      <c r="W62" s="384"/>
      <c r="X62" s="384"/>
      <c r="Y62" s="232"/>
      <c r="Z62" s="228" t="s">
        <v>604</v>
      </c>
      <c r="AA62" s="229"/>
      <c r="AB62" s="229"/>
      <c r="AC62" s="17"/>
      <c r="AD62" s="17"/>
      <c r="AE62" s="185"/>
      <c r="AF62" s="184"/>
    </row>
    <row r="63" spans="1:32" s="1" customFormat="1" ht="19.5" customHeight="1" x14ac:dyDescent="0.3">
      <c r="A63" s="409"/>
      <c r="B63" s="396"/>
      <c r="C63" s="376"/>
      <c r="D63" s="386" t="s">
        <v>81</v>
      </c>
      <c r="E63" s="386" t="s">
        <v>530</v>
      </c>
      <c r="F63" s="384">
        <v>2</v>
      </c>
      <c r="G63" s="386" t="s">
        <v>35</v>
      </c>
      <c r="H63" s="386">
        <v>25</v>
      </c>
      <c r="I63" s="386"/>
      <c r="J63" s="384"/>
      <c r="K63" s="384"/>
      <c r="L63" s="384"/>
      <c r="M63" s="384"/>
      <c r="N63" s="384"/>
      <c r="O63" s="384"/>
      <c r="P63" s="384"/>
      <c r="Q63" s="230"/>
      <c r="R63" s="230"/>
      <c r="S63" s="230"/>
      <c r="T63" s="231"/>
      <c r="U63" s="384"/>
      <c r="V63" s="384"/>
      <c r="W63" s="384"/>
      <c r="X63" s="384"/>
      <c r="Y63" s="232"/>
      <c r="Z63" s="228" t="s">
        <v>604</v>
      </c>
      <c r="AA63" s="229"/>
      <c r="AB63" s="229"/>
      <c r="AC63" s="17"/>
      <c r="AD63" s="17"/>
      <c r="AE63" s="185"/>
      <c r="AF63" s="184"/>
    </row>
    <row r="64" spans="1:32" s="1" customFormat="1" ht="19.5" customHeight="1" x14ac:dyDescent="0.3">
      <c r="A64" s="409"/>
      <c r="B64" s="396"/>
      <c r="C64" s="376"/>
      <c r="D64" s="225" t="s">
        <v>52</v>
      </c>
      <c r="E64" s="386" t="s">
        <v>303</v>
      </c>
      <c r="F64" s="384">
        <v>2</v>
      </c>
      <c r="G64" s="386" t="s">
        <v>35</v>
      </c>
      <c r="H64" s="386">
        <v>30</v>
      </c>
      <c r="I64" s="386"/>
      <c r="J64" s="384">
        <v>38</v>
      </c>
      <c r="K64" s="384"/>
      <c r="L64" s="384"/>
      <c r="M64" s="384"/>
      <c r="N64" s="384"/>
      <c r="O64" s="384">
        <v>7</v>
      </c>
      <c r="P64" s="384"/>
      <c r="Q64" s="230"/>
      <c r="R64" s="230"/>
      <c r="S64" s="230"/>
      <c r="T64" s="231"/>
      <c r="U64" s="384"/>
      <c r="V64" s="384"/>
      <c r="W64" s="384"/>
      <c r="X64" s="384"/>
      <c r="Y64" s="232">
        <v>2</v>
      </c>
      <c r="Z64" s="228" t="s">
        <v>609</v>
      </c>
      <c r="AA64" s="229"/>
      <c r="AB64" s="229"/>
      <c r="AC64" s="17"/>
      <c r="AD64" s="17"/>
      <c r="AE64" s="185"/>
      <c r="AF64" s="184"/>
    </row>
    <row r="65" spans="1:32" s="1" customFormat="1" ht="19.5" customHeight="1" x14ac:dyDescent="0.3">
      <c r="A65" s="409"/>
      <c r="B65" s="396"/>
      <c r="C65" s="376"/>
      <c r="D65" s="225" t="s">
        <v>52</v>
      </c>
      <c r="E65" s="386" t="s">
        <v>321</v>
      </c>
      <c r="F65" s="384">
        <v>2</v>
      </c>
      <c r="G65" s="386" t="s">
        <v>35</v>
      </c>
      <c r="H65" s="386">
        <v>29</v>
      </c>
      <c r="I65" s="386"/>
      <c r="J65" s="384">
        <v>38</v>
      </c>
      <c r="K65" s="384"/>
      <c r="L65" s="384"/>
      <c r="M65" s="384"/>
      <c r="N65" s="384"/>
      <c r="O65" s="384">
        <v>7</v>
      </c>
      <c r="P65" s="230"/>
      <c r="Q65" s="230"/>
      <c r="R65" s="230"/>
      <c r="S65" s="230"/>
      <c r="T65" s="231"/>
      <c r="U65" s="384"/>
      <c r="V65" s="384"/>
      <c r="W65" s="384"/>
      <c r="X65" s="384"/>
      <c r="Y65" s="232">
        <v>1.5</v>
      </c>
      <c r="Z65" s="228" t="s">
        <v>609</v>
      </c>
      <c r="AA65" s="229"/>
      <c r="AB65" s="229"/>
      <c r="AC65" s="17"/>
      <c r="AD65" s="17"/>
      <c r="AE65" s="185"/>
      <c r="AF65" s="184"/>
    </row>
    <row r="66" spans="1:32" s="1" customFormat="1" ht="19.5" customHeight="1" x14ac:dyDescent="0.3">
      <c r="A66" s="409"/>
      <c r="B66" s="396"/>
      <c r="C66" s="376"/>
      <c r="D66" s="386" t="s">
        <v>81</v>
      </c>
      <c r="E66" s="386" t="s">
        <v>529</v>
      </c>
      <c r="F66" s="384">
        <v>2</v>
      </c>
      <c r="G66" s="386" t="s">
        <v>35</v>
      </c>
      <c r="H66" s="386">
        <v>25</v>
      </c>
      <c r="I66" s="386"/>
      <c r="J66" s="384">
        <v>38</v>
      </c>
      <c r="K66" s="384"/>
      <c r="L66" s="384"/>
      <c r="M66" s="384"/>
      <c r="N66" s="384"/>
      <c r="O66" s="384">
        <v>7</v>
      </c>
      <c r="P66" s="230"/>
      <c r="Q66" s="230"/>
      <c r="R66" s="230"/>
      <c r="S66" s="230"/>
      <c r="T66" s="231"/>
      <c r="U66" s="384"/>
      <c r="V66" s="384"/>
      <c r="W66" s="384"/>
      <c r="X66" s="384"/>
      <c r="Y66" s="232">
        <v>1.5</v>
      </c>
      <c r="Z66" s="228" t="s">
        <v>607</v>
      </c>
      <c r="AA66" s="229"/>
      <c r="AB66" s="229"/>
      <c r="AC66" s="17"/>
      <c r="AD66" s="17"/>
      <c r="AE66" s="185"/>
      <c r="AF66" s="184"/>
    </row>
    <row r="67" spans="1:32" s="1" customFormat="1" ht="19.5" customHeight="1" x14ac:dyDescent="0.3">
      <c r="A67" s="409"/>
      <c r="B67" s="396"/>
      <c r="C67" s="376"/>
      <c r="D67" s="386" t="s">
        <v>81</v>
      </c>
      <c r="E67" s="386" t="s">
        <v>530</v>
      </c>
      <c r="F67" s="384">
        <v>2</v>
      </c>
      <c r="G67" s="386" t="s">
        <v>35</v>
      </c>
      <c r="H67" s="386">
        <v>25</v>
      </c>
      <c r="I67" s="386"/>
      <c r="J67" s="384"/>
      <c r="K67" s="384"/>
      <c r="L67" s="384"/>
      <c r="M67" s="384"/>
      <c r="N67" s="384"/>
      <c r="O67" s="384"/>
      <c r="P67" s="230"/>
      <c r="Q67" s="230"/>
      <c r="R67" s="230"/>
      <c r="S67" s="230"/>
      <c r="T67" s="231"/>
      <c r="U67" s="384"/>
      <c r="V67" s="384"/>
      <c r="W67" s="384"/>
      <c r="X67" s="384"/>
      <c r="Y67" s="232"/>
      <c r="Z67" s="228" t="s">
        <v>607</v>
      </c>
      <c r="AA67" s="229"/>
      <c r="AB67" s="229"/>
      <c r="AC67" s="17"/>
      <c r="AD67" s="17"/>
      <c r="AE67" s="185"/>
      <c r="AF67" s="184"/>
    </row>
    <row r="68" spans="1:32" s="1" customFormat="1" ht="19.5" customHeight="1" x14ac:dyDescent="0.3">
      <c r="A68" s="409"/>
      <c r="B68" s="396"/>
      <c r="C68" s="376"/>
      <c r="D68" s="384" t="s">
        <v>170</v>
      </c>
      <c r="E68" s="384" t="s">
        <v>540</v>
      </c>
      <c r="F68" s="384">
        <v>2</v>
      </c>
      <c r="G68" s="384" t="s">
        <v>35</v>
      </c>
      <c r="H68" s="386">
        <v>25</v>
      </c>
      <c r="I68" s="386">
        <v>15</v>
      </c>
      <c r="J68" s="384"/>
      <c r="K68" s="384"/>
      <c r="L68" s="384"/>
      <c r="M68" s="384"/>
      <c r="N68" s="384"/>
      <c r="O68" s="384"/>
      <c r="P68" s="230"/>
      <c r="Q68" s="230"/>
      <c r="R68" s="230"/>
      <c r="S68" s="230"/>
      <c r="T68" s="231"/>
      <c r="U68" s="384"/>
      <c r="V68" s="384"/>
      <c r="W68" s="384"/>
      <c r="X68" s="384"/>
      <c r="Y68" s="232"/>
      <c r="Z68" s="228" t="s">
        <v>604</v>
      </c>
      <c r="AA68" s="229"/>
      <c r="AB68" s="229"/>
      <c r="AC68" s="17"/>
      <c r="AD68" s="17"/>
      <c r="AE68" s="185"/>
      <c r="AF68" s="184"/>
    </row>
    <row r="69" spans="1:32" s="1" customFormat="1" ht="19.5" customHeight="1" x14ac:dyDescent="0.3">
      <c r="A69" s="409"/>
      <c r="B69" s="396"/>
      <c r="C69" s="376"/>
      <c r="D69" s="384" t="s">
        <v>170</v>
      </c>
      <c r="E69" s="384" t="s">
        <v>541</v>
      </c>
      <c r="F69" s="384">
        <v>2</v>
      </c>
      <c r="G69" s="384" t="s">
        <v>35</v>
      </c>
      <c r="H69" s="386">
        <v>25</v>
      </c>
      <c r="I69" s="386"/>
      <c r="J69" s="384"/>
      <c r="K69" s="384"/>
      <c r="L69" s="384"/>
      <c r="M69" s="384"/>
      <c r="N69" s="384"/>
      <c r="O69" s="384"/>
      <c r="P69" s="230"/>
      <c r="Q69" s="230"/>
      <c r="R69" s="230"/>
      <c r="S69" s="230"/>
      <c r="T69" s="231"/>
      <c r="U69" s="384"/>
      <c r="V69" s="384"/>
      <c r="W69" s="384"/>
      <c r="X69" s="384"/>
      <c r="Y69" s="232"/>
      <c r="Z69" s="228" t="s">
        <v>604</v>
      </c>
      <c r="AA69" s="229"/>
      <c r="AB69" s="229"/>
      <c r="AC69" s="17"/>
      <c r="AD69" s="17"/>
      <c r="AE69" s="185"/>
      <c r="AF69" s="184"/>
    </row>
    <row r="70" spans="1:32" s="1" customFormat="1" ht="19.5" customHeight="1" x14ac:dyDescent="0.3">
      <c r="A70" s="409"/>
      <c r="B70" s="396"/>
      <c r="C70" s="376"/>
      <c r="D70" s="384" t="s">
        <v>170</v>
      </c>
      <c r="E70" s="384" t="s">
        <v>542</v>
      </c>
      <c r="F70" s="384">
        <v>2</v>
      </c>
      <c r="G70" s="384" t="s">
        <v>35</v>
      </c>
      <c r="H70" s="386">
        <v>30</v>
      </c>
      <c r="I70" s="386"/>
      <c r="J70" s="384"/>
      <c r="K70" s="384"/>
      <c r="L70" s="384"/>
      <c r="M70" s="384"/>
      <c r="N70" s="384"/>
      <c r="O70" s="384"/>
      <c r="P70" s="230"/>
      <c r="Q70" s="230"/>
      <c r="R70" s="230"/>
      <c r="S70" s="230"/>
      <c r="T70" s="231"/>
      <c r="U70" s="384"/>
      <c r="V70" s="384"/>
      <c r="W70" s="384"/>
      <c r="X70" s="384"/>
      <c r="Y70" s="232"/>
      <c r="Z70" s="228" t="s">
        <v>604</v>
      </c>
      <c r="AA70" s="229"/>
      <c r="AB70" s="229"/>
      <c r="AC70" s="17"/>
      <c r="AD70" s="17"/>
      <c r="AE70" s="185"/>
      <c r="AF70" s="184"/>
    </row>
    <row r="71" spans="1:32" s="1" customFormat="1" ht="19.5" customHeight="1" x14ac:dyDescent="0.3">
      <c r="A71" s="409"/>
      <c r="B71" s="396"/>
      <c r="C71" s="376"/>
      <c r="D71" s="384" t="s">
        <v>170</v>
      </c>
      <c r="E71" s="384" t="s">
        <v>294</v>
      </c>
      <c r="F71" s="384">
        <v>2</v>
      </c>
      <c r="G71" s="384" t="s">
        <v>35</v>
      </c>
      <c r="H71" s="386">
        <v>25</v>
      </c>
      <c r="I71" s="386"/>
      <c r="J71" s="384"/>
      <c r="K71" s="384"/>
      <c r="L71" s="384"/>
      <c r="M71" s="384"/>
      <c r="N71" s="384"/>
      <c r="O71" s="384"/>
      <c r="P71" s="230"/>
      <c r="Q71" s="230"/>
      <c r="R71" s="230"/>
      <c r="S71" s="230"/>
      <c r="T71" s="231"/>
      <c r="U71" s="384"/>
      <c r="V71" s="384"/>
      <c r="W71" s="384"/>
      <c r="X71" s="384"/>
      <c r="Y71" s="232"/>
      <c r="Z71" s="228" t="s">
        <v>604</v>
      </c>
      <c r="AA71" s="229"/>
      <c r="AB71" s="229"/>
      <c r="AE71" s="184"/>
      <c r="AF71" s="184"/>
    </row>
    <row r="72" spans="1:32" s="1" customFormat="1" ht="19.5" customHeight="1" x14ac:dyDescent="0.3">
      <c r="A72" s="409"/>
      <c r="B72" s="396"/>
      <c r="C72" s="376"/>
      <c r="D72" s="384" t="s">
        <v>170</v>
      </c>
      <c r="E72" s="384" t="s">
        <v>531</v>
      </c>
      <c r="F72" s="384">
        <v>2</v>
      </c>
      <c r="G72" s="384" t="s">
        <v>35</v>
      </c>
      <c r="H72" s="386">
        <v>25</v>
      </c>
      <c r="I72" s="386"/>
      <c r="J72" s="384"/>
      <c r="K72" s="384"/>
      <c r="L72" s="384"/>
      <c r="M72" s="384"/>
      <c r="N72" s="384"/>
      <c r="O72" s="384"/>
      <c r="P72" s="230"/>
      <c r="Q72" s="230"/>
      <c r="R72" s="230"/>
      <c r="S72" s="230"/>
      <c r="T72" s="231"/>
      <c r="U72" s="384"/>
      <c r="V72" s="384"/>
      <c r="W72" s="384"/>
      <c r="X72" s="384"/>
      <c r="Y72" s="232"/>
      <c r="Z72" s="228" t="s">
        <v>604</v>
      </c>
      <c r="AA72" s="229"/>
      <c r="AB72" s="229"/>
      <c r="AE72" s="184"/>
      <c r="AF72" s="184"/>
    </row>
    <row r="73" spans="1:32" s="1" customFormat="1" ht="19.5" customHeight="1" x14ac:dyDescent="0.3">
      <c r="A73" s="409"/>
      <c r="B73" s="396"/>
      <c r="C73" s="376"/>
      <c r="D73" s="384" t="s">
        <v>170</v>
      </c>
      <c r="E73" s="384" t="s">
        <v>540</v>
      </c>
      <c r="F73" s="384">
        <v>2</v>
      </c>
      <c r="G73" s="384" t="s">
        <v>35</v>
      </c>
      <c r="H73" s="386">
        <v>25</v>
      </c>
      <c r="I73" s="386"/>
      <c r="J73" s="384">
        <v>38</v>
      </c>
      <c r="K73" s="384"/>
      <c r="L73" s="384"/>
      <c r="M73" s="384"/>
      <c r="N73" s="384"/>
      <c r="O73" s="384">
        <v>7</v>
      </c>
      <c r="P73" s="384"/>
      <c r="Q73" s="230"/>
      <c r="R73" s="230"/>
      <c r="S73" s="230"/>
      <c r="T73" s="231"/>
      <c r="U73" s="384"/>
      <c r="V73" s="384"/>
      <c r="W73" s="384"/>
      <c r="X73" s="384"/>
      <c r="Y73" s="232">
        <v>2</v>
      </c>
      <c r="Z73" s="228" t="s">
        <v>610</v>
      </c>
      <c r="AA73" s="229"/>
      <c r="AB73" s="229"/>
      <c r="AE73" s="184"/>
      <c r="AF73" s="184"/>
    </row>
    <row r="74" spans="1:32" s="1" customFormat="1" ht="19.5" customHeight="1" x14ac:dyDescent="0.3">
      <c r="A74" s="409"/>
      <c r="B74" s="396"/>
      <c r="C74" s="376"/>
      <c r="D74" s="384" t="s">
        <v>170</v>
      </c>
      <c r="E74" s="384" t="s">
        <v>541</v>
      </c>
      <c r="F74" s="384">
        <v>2</v>
      </c>
      <c r="G74" s="384" t="s">
        <v>35</v>
      </c>
      <c r="H74" s="386">
        <v>25</v>
      </c>
      <c r="I74" s="386"/>
      <c r="J74" s="384"/>
      <c r="K74" s="384"/>
      <c r="L74" s="384"/>
      <c r="M74" s="384"/>
      <c r="N74" s="384"/>
      <c r="O74" s="384"/>
      <c r="P74" s="384"/>
      <c r="Q74" s="230"/>
      <c r="R74" s="230"/>
      <c r="S74" s="230"/>
      <c r="T74" s="231"/>
      <c r="U74" s="384"/>
      <c r="V74" s="384"/>
      <c r="W74" s="384"/>
      <c r="X74" s="384"/>
      <c r="Y74" s="232"/>
      <c r="Z74" s="228" t="s">
        <v>610</v>
      </c>
      <c r="AA74" s="229"/>
      <c r="AB74" s="229"/>
      <c r="AE74" s="184"/>
      <c r="AF74" s="184"/>
    </row>
    <row r="75" spans="1:32" s="1" customFormat="1" ht="19.5" customHeight="1" x14ac:dyDescent="0.3">
      <c r="A75" s="409"/>
      <c r="B75" s="396"/>
      <c r="C75" s="376"/>
      <c r="D75" s="384" t="s">
        <v>170</v>
      </c>
      <c r="E75" s="384" t="s">
        <v>542</v>
      </c>
      <c r="F75" s="384">
        <v>2</v>
      </c>
      <c r="G75" s="384" t="s">
        <v>35</v>
      </c>
      <c r="H75" s="386">
        <v>30</v>
      </c>
      <c r="I75" s="386"/>
      <c r="J75" s="384">
        <v>38</v>
      </c>
      <c r="K75" s="384"/>
      <c r="L75" s="384"/>
      <c r="M75" s="384"/>
      <c r="N75" s="384"/>
      <c r="O75" s="384">
        <v>7</v>
      </c>
      <c r="P75" s="384"/>
      <c r="Q75" s="230"/>
      <c r="R75" s="230"/>
      <c r="S75" s="230"/>
      <c r="T75" s="231"/>
      <c r="U75" s="384"/>
      <c r="V75" s="384"/>
      <c r="W75" s="384"/>
      <c r="X75" s="384"/>
      <c r="Y75" s="232">
        <v>1.5</v>
      </c>
      <c r="Z75" s="228" t="s">
        <v>610</v>
      </c>
      <c r="AA75" s="229"/>
      <c r="AB75" s="229"/>
      <c r="AE75" s="184"/>
      <c r="AF75" s="184"/>
    </row>
    <row r="76" spans="1:32" s="1" customFormat="1" ht="19.5" customHeight="1" x14ac:dyDescent="0.3">
      <c r="A76" s="409"/>
      <c r="B76" s="396"/>
      <c r="C76" s="376"/>
      <c r="D76" s="384" t="s">
        <v>170</v>
      </c>
      <c r="E76" s="384" t="s">
        <v>294</v>
      </c>
      <c r="F76" s="384">
        <v>2</v>
      </c>
      <c r="G76" s="384" t="s">
        <v>35</v>
      </c>
      <c r="H76" s="386">
        <v>25</v>
      </c>
      <c r="I76" s="386"/>
      <c r="J76" s="384">
        <v>38</v>
      </c>
      <c r="K76" s="384"/>
      <c r="L76" s="384"/>
      <c r="M76" s="384"/>
      <c r="N76" s="384"/>
      <c r="O76" s="384">
        <v>7</v>
      </c>
      <c r="P76" s="384"/>
      <c r="Q76" s="230"/>
      <c r="R76" s="230"/>
      <c r="S76" s="230"/>
      <c r="T76" s="231"/>
      <c r="U76" s="384"/>
      <c r="V76" s="384"/>
      <c r="W76" s="384"/>
      <c r="X76" s="384"/>
      <c r="Y76" s="232">
        <v>1.5</v>
      </c>
      <c r="Z76" s="228" t="s">
        <v>610</v>
      </c>
      <c r="AA76" s="229"/>
      <c r="AB76" s="229"/>
      <c r="AE76" s="184"/>
      <c r="AF76" s="184"/>
    </row>
    <row r="77" spans="1:32" s="1" customFormat="1" ht="19.5" customHeight="1" x14ac:dyDescent="0.3">
      <c r="A77" s="409"/>
      <c r="B77" s="396"/>
      <c r="C77" s="376"/>
      <c r="D77" s="384" t="s">
        <v>170</v>
      </c>
      <c r="E77" s="384" t="s">
        <v>531</v>
      </c>
      <c r="F77" s="384">
        <v>2</v>
      </c>
      <c r="G77" s="384" t="s">
        <v>35</v>
      </c>
      <c r="H77" s="386">
        <v>25</v>
      </c>
      <c r="I77" s="386"/>
      <c r="J77" s="384"/>
      <c r="K77" s="384"/>
      <c r="L77" s="384"/>
      <c r="M77" s="384"/>
      <c r="N77" s="384"/>
      <c r="O77" s="384"/>
      <c r="P77" s="384"/>
      <c r="Q77" s="230"/>
      <c r="R77" s="230"/>
      <c r="S77" s="230"/>
      <c r="T77" s="231"/>
      <c r="U77" s="384"/>
      <c r="V77" s="384"/>
      <c r="W77" s="384"/>
      <c r="X77" s="384"/>
      <c r="Y77" s="232"/>
      <c r="Z77" s="228" t="s">
        <v>610</v>
      </c>
      <c r="AA77" s="229"/>
      <c r="AB77" s="229"/>
      <c r="AE77" s="184"/>
      <c r="AF77" s="184"/>
    </row>
    <row r="78" spans="1:32" s="1" customFormat="1" ht="19.5" customHeight="1" x14ac:dyDescent="0.3">
      <c r="A78" s="409"/>
      <c r="B78" s="396"/>
      <c r="C78" s="376"/>
      <c r="D78" s="384" t="s">
        <v>61</v>
      </c>
      <c r="E78" s="384" t="s">
        <v>298</v>
      </c>
      <c r="F78" s="384">
        <v>2</v>
      </c>
      <c r="G78" s="386" t="s">
        <v>35</v>
      </c>
      <c r="H78" s="386">
        <v>14</v>
      </c>
      <c r="I78" s="386">
        <v>15</v>
      </c>
      <c r="J78" s="384"/>
      <c r="K78" s="384"/>
      <c r="L78" s="384"/>
      <c r="M78" s="384"/>
      <c r="N78" s="384"/>
      <c r="O78" s="384"/>
      <c r="P78" s="384"/>
      <c r="Q78" s="230"/>
      <c r="R78" s="230"/>
      <c r="S78" s="230"/>
      <c r="T78" s="231"/>
      <c r="U78" s="384"/>
      <c r="V78" s="384"/>
      <c r="W78" s="384"/>
      <c r="X78" s="384"/>
      <c r="Y78" s="232"/>
      <c r="Z78" s="228" t="s">
        <v>604</v>
      </c>
      <c r="AA78" s="229"/>
      <c r="AB78" s="229"/>
      <c r="AE78" s="184"/>
      <c r="AF78" s="184"/>
    </row>
    <row r="79" spans="1:32" s="1" customFormat="1" ht="19.5" customHeight="1" x14ac:dyDescent="0.3">
      <c r="A79" s="409"/>
      <c r="B79" s="396"/>
      <c r="C79" s="376"/>
      <c r="D79" s="225" t="s">
        <v>44</v>
      </c>
      <c r="E79" s="386" t="s">
        <v>297</v>
      </c>
      <c r="F79" s="384">
        <v>2</v>
      </c>
      <c r="G79" s="386" t="s">
        <v>35</v>
      </c>
      <c r="H79" s="386">
        <v>30</v>
      </c>
      <c r="I79" s="229"/>
      <c r="J79" s="384"/>
      <c r="K79" s="384"/>
      <c r="L79" s="384"/>
      <c r="M79" s="384"/>
      <c r="N79" s="384"/>
      <c r="O79" s="384"/>
      <c r="P79" s="384"/>
      <c r="Q79" s="230"/>
      <c r="R79" s="230"/>
      <c r="S79" s="230"/>
      <c r="T79" s="231"/>
      <c r="U79" s="384"/>
      <c r="V79" s="384"/>
      <c r="W79" s="384"/>
      <c r="X79" s="384"/>
      <c r="Y79" s="232"/>
      <c r="Z79" s="228" t="s">
        <v>604</v>
      </c>
      <c r="AA79" s="229"/>
      <c r="AB79" s="229"/>
      <c r="AE79" s="184"/>
      <c r="AF79" s="184"/>
    </row>
    <row r="80" spans="1:32" s="1" customFormat="1" ht="19.5" customHeight="1" x14ac:dyDescent="0.3">
      <c r="A80" s="409"/>
      <c r="B80" s="396"/>
      <c r="C80" s="376"/>
      <c r="D80" s="384" t="s">
        <v>49</v>
      </c>
      <c r="E80" s="384" t="s">
        <v>291</v>
      </c>
      <c r="F80" s="384">
        <v>2</v>
      </c>
      <c r="G80" s="384" t="s">
        <v>35</v>
      </c>
      <c r="H80" s="386">
        <v>20</v>
      </c>
      <c r="I80" s="386"/>
      <c r="J80" s="384"/>
      <c r="K80" s="384"/>
      <c r="L80" s="384"/>
      <c r="M80" s="384"/>
      <c r="N80" s="384"/>
      <c r="O80" s="384"/>
      <c r="P80" s="384"/>
      <c r="Q80" s="230"/>
      <c r="R80" s="230"/>
      <c r="S80" s="230"/>
      <c r="T80" s="231"/>
      <c r="U80" s="384"/>
      <c r="V80" s="384"/>
      <c r="W80" s="384"/>
      <c r="X80" s="384"/>
      <c r="Y80" s="232"/>
      <c r="Z80" s="228" t="s">
        <v>604</v>
      </c>
      <c r="AA80" s="229"/>
      <c r="AB80" s="229"/>
      <c r="AE80" s="184"/>
      <c r="AF80" s="184"/>
    </row>
    <row r="81" spans="1:32" s="1" customFormat="1" ht="19.5" customHeight="1" x14ac:dyDescent="0.3">
      <c r="A81" s="409"/>
      <c r="B81" s="396"/>
      <c r="C81" s="376"/>
      <c r="D81" s="384" t="s">
        <v>62</v>
      </c>
      <c r="E81" s="384" t="s">
        <v>292</v>
      </c>
      <c r="F81" s="384">
        <v>2</v>
      </c>
      <c r="G81" s="386" t="s">
        <v>35</v>
      </c>
      <c r="H81" s="386">
        <v>18</v>
      </c>
      <c r="I81" s="386"/>
      <c r="J81" s="384"/>
      <c r="K81" s="384"/>
      <c r="L81" s="384"/>
      <c r="M81" s="384"/>
      <c r="N81" s="384"/>
      <c r="O81" s="384"/>
      <c r="P81" s="384"/>
      <c r="Q81" s="230"/>
      <c r="R81" s="230"/>
      <c r="S81" s="230"/>
      <c r="T81" s="231"/>
      <c r="U81" s="384"/>
      <c r="V81" s="384"/>
      <c r="W81" s="384"/>
      <c r="X81" s="384"/>
      <c r="Y81" s="232"/>
      <c r="Z81" s="228" t="s">
        <v>604</v>
      </c>
      <c r="AA81" s="229"/>
      <c r="AB81" s="229"/>
      <c r="AE81" s="184"/>
      <c r="AF81" s="184"/>
    </row>
    <row r="82" spans="1:32" s="1" customFormat="1" ht="19.5" customHeight="1" x14ac:dyDescent="0.3">
      <c r="A82" s="409"/>
      <c r="B82" s="396"/>
      <c r="C82" s="376"/>
      <c r="D82" s="386" t="s">
        <v>210</v>
      </c>
      <c r="E82" s="386" t="s">
        <v>293</v>
      </c>
      <c r="F82" s="384">
        <v>2</v>
      </c>
      <c r="G82" s="386" t="s">
        <v>35</v>
      </c>
      <c r="H82" s="386">
        <v>15</v>
      </c>
      <c r="I82" s="386"/>
      <c r="J82" s="384"/>
      <c r="K82" s="384"/>
      <c r="L82" s="384"/>
      <c r="M82" s="384"/>
      <c r="N82" s="384"/>
      <c r="O82" s="384"/>
      <c r="P82" s="384"/>
      <c r="Q82" s="230"/>
      <c r="R82" s="230"/>
      <c r="S82" s="230"/>
      <c r="T82" s="231"/>
      <c r="U82" s="384"/>
      <c r="V82" s="384"/>
      <c r="W82" s="384"/>
      <c r="X82" s="384"/>
      <c r="Y82" s="232"/>
      <c r="Z82" s="228" t="s">
        <v>604</v>
      </c>
      <c r="AA82" s="229"/>
      <c r="AB82" s="229"/>
      <c r="AE82" s="184"/>
      <c r="AF82" s="184"/>
    </row>
    <row r="83" spans="1:32" s="1" customFormat="1" ht="19.5" customHeight="1" x14ac:dyDescent="0.3">
      <c r="A83" s="409"/>
      <c r="B83" s="396"/>
      <c r="C83" s="376"/>
      <c r="D83" s="225" t="s">
        <v>43</v>
      </c>
      <c r="E83" s="386" t="s">
        <v>322</v>
      </c>
      <c r="F83" s="384">
        <v>2</v>
      </c>
      <c r="G83" s="386" t="s">
        <v>35</v>
      </c>
      <c r="H83" s="386">
        <v>23</v>
      </c>
      <c r="I83" s="386"/>
      <c r="J83" s="384"/>
      <c r="K83" s="384"/>
      <c r="L83" s="384"/>
      <c r="M83" s="384"/>
      <c r="N83" s="384"/>
      <c r="O83" s="384"/>
      <c r="P83" s="384"/>
      <c r="Q83" s="230"/>
      <c r="R83" s="230"/>
      <c r="S83" s="230"/>
      <c r="T83" s="231"/>
      <c r="U83" s="384"/>
      <c r="V83" s="384"/>
      <c r="W83" s="384"/>
      <c r="X83" s="384"/>
      <c r="Y83" s="232"/>
      <c r="Z83" s="228" t="s">
        <v>604</v>
      </c>
      <c r="AA83" s="229"/>
      <c r="AB83" s="229"/>
      <c r="AE83" s="184"/>
      <c r="AF83" s="184"/>
    </row>
    <row r="84" spans="1:32" s="1" customFormat="1" ht="19.5" customHeight="1" x14ac:dyDescent="0.3">
      <c r="A84" s="409"/>
      <c r="B84" s="396"/>
      <c r="C84" s="376"/>
      <c r="D84" s="386" t="s">
        <v>60</v>
      </c>
      <c r="E84" s="386" t="s">
        <v>295</v>
      </c>
      <c r="F84" s="384">
        <v>2</v>
      </c>
      <c r="G84" s="384" t="s">
        <v>35</v>
      </c>
      <c r="H84" s="386">
        <v>30</v>
      </c>
      <c r="I84" s="386"/>
      <c r="J84" s="384"/>
      <c r="K84" s="384"/>
      <c r="L84" s="384"/>
      <c r="M84" s="384"/>
      <c r="N84" s="384"/>
      <c r="O84" s="384">
        <v>7</v>
      </c>
      <c r="P84" s="230"/>
      <c r="Q84" s="230"/>
      <c r="R84" s="230"/>
      <c r="S84" s="230"/>
      <c r="T84" s="231"/>
      <c r="U84" s="384"/>
      <c r="V84" s="384"/>
      <c r="W84" s="384"/>
      <c r="X84" s="384"/>
      <c r="Y84" s="232">
        <v>2</v>
      </c>
      <c r="Z84" s="228" t="s">
        <v>607</v>
      </c>
      <c r="AA84" s="229"/>
      <c r="AB84" s="229"/>
      <c r="AE84" s="184"/>
      <c r="AF84" s="184"/>
    </row>
    <row r="85" spans="1:32" s="1" customFormat="1" ht="19.5" customHeight="1" x14ac:dyDescent="0.3">
      <c r="A85" s="409"/>
      <c r="B85" s="396"/>
      <c r="C85" s="376"/>
      <c r="D85" s="384" t="s">
        <v>61</v>
      </c>
      <c r="E85" s="384" t="s">
        <v>298</v>
      </c>
      <c r="F85" s="384">
        <v>2</v>
      </c>
      <c r="G85" s="386" t="s">
        <v>35</v>
      </c>
      <c r="H85" s="386">
        <v>14</v>
      </c>
      <c r="I85" s="386"/>
      <c r="J85" s="384"/>
      <c r="K85" s="384"/>
      <c r="L85" s="384"/>
      <c r="M85" s="384"/>
      <c r="N85" s="384"/>
      <c r="O85" s="384"/>
      <c r="P85" s="230"/>
      <c r="Q85" s="230"/>
      <c r="R85" s="230"/>
      <c r="S85" s="230"/>
      <c r="T85" s="231"/>
      <c r="U85" s="384"/>
      <c r="V85" s="384"/>
      <c r="W85" s="384"/>
      <c r="X85" s="384"/>
      <c r="Y85" s="232"/>
      <c r="Z85" s="228" t="s">
        <v>607</v>
      </c>
      <c r="AA85" s="229"/>
      <c r="AB85" s="229"/>
      <c r="AE85" s="184"/>
      <c r="AF85" s="184"/>
    </row>
    <row r="86" spans="1:32" s="1" customFormat="1" ht="19.5" customHeight="1" x14ac:dyDescent="0.3">
      <c r="A86" s="409"/>
      <c r="B86" s="396"/>
      <c r="C86" s="376"/>
      <c r="D86" s="225" t="s">
        <v>44</v>
      </c>
      <c r="E86" s="386" t="s">
        <v>297</v>
      </c>
      <c r="F86" s="384">
        <v>2</v>
      </c>
      <c r="G86" s="386" t="s">
        <v>35</v>
      </c>
      <c r="H86" s="386">
        <v>30</v>
      </c>
      <c r="I86" s="229"/>
      <c r="J86" s="384">
        <v>38</v>
      </c>
      <c r="K86" s="384"/>
      <c r="L86" s="384"/>
      <c r="M86" s="384"/>
      <c r="N86" s="384"/>
      <c r="O86" s="384"/>
      <c r="P86" s="384"/>
      <c r="Q86" s="230"/>
      <c r="R86" s="230"/>
      <c r="S86" s="230"/>
      <c r="T86" s="231"/>
      <c r="U86" s="384"/>
      <c r="V86" s="384"/>
      <c r="W86" s="384"/>
      <c r="X86" s="384"/>
      <c r="Y86" s="232">
        <v>0</v>
      </c>
      <c r="Z86" s="228" t="s">
        <v>607</v>
      </c>
      <c r="AA86" s="229"/>
      <c r="AB86" s="229"/>
      <c r="AE86" s="184"/>
      <c r="AF86" s="184"/>
    </row>
    <row r="87" spans="1:32" s="1" customFormat="1" ht="19.5" customHeight="1" x14ac:dyDescent="0.3">
      <c r="A87" s="409"/>
      <c r="B87" s="396"/>
      <c r="C87" s="376"/>
      <c r="D87" s="384" t="s">
        <v>49</v>
      </c>
      <c r="E87" s="384" t="s">
        <v>291</v>
      </c>
      <c r="F87" s="384">
        <v>2</v>
      </c>
      <c r="G87" s="384" t="s">
        <v>35</v>
      </c>
      <c r="H87" s="386">
        <v>27</v>
      </c>
      <c r="I87" s="386"/>
      <c r="J87" s="384">
        <v>38</v>
      </c>
      <c r="K87" s="384"/>
      <c r="L87" s="384"/>
      <c r="M87" s="384"/>
      <c r="N87" s="384"/>
      <c r="O87" s="384">
        <v>7</v>
      </c>
      <c r="P87" s="384"/>
      <c r="Q87" s="230"/>
      <c r="R87" s="230"/>
      <c r="S87" s="230"/>
      <c r="T87" s="231"/>
      <c r="U87" s="384"/>
      <c r="V87" s="384"/>
      <c r="W87" s="384"/>
      <c r="X87" s="384"/>
      <c r="Y87" s="232">
        <v>1.5</v>
      </c>
      <c r="Z87" s="228" t="s">
        <v>604</v>
      </c>
      <c r="AA87" s="229"/>
      <c r="AB87" s="229"/>
      <c r="AE87" s="184"/>
      <c r="AF87" s="184"/>
    </row>
    <row r="88" spans="1:32" s="1" customFormat="1" ht="19.5" customHeight="1" x14ac:dyDescent="0.3">
      <c r="A88" s="409"/>
      <c r="B88" s="396"/>
      <c r="C88" s="376"/>
      <c r="D88" s="384" t="s">
        <v>62</v>
      </c>
      <c r="E88" s="384" t="s">
        <v>292</v>
      </c>
      <c r="F88" s="384">
        <v>2</v>
      </c>
      <c r="G88" s="386" t="s">
        <v>35</v>
      </c>
      <c r="H88" s="386">
        <v>18</v>
      </c>
      <c r="I88" s="386"/>
      <c r="J88" s="384"/>
      <c r="K88" s="384"/>
      <c r="L88" s="384"/>
      <c r="M88" s="384"/>
      <c r="N88" s="384"/>
      <c r="O88" s="384"/>
      <c r="P88" s="384"/>
      <c r="Q88" s="230"/>
      <c r="R88" s="230"/>
      <c r="S88" s="230"/>
      <c r="T88" s="231"/>
      <c r="U88" s="384"/>
      <c r="V88" s="384"/>
      <c r="W88" s="384"/>
      <c r="X88" s="384"/>
      <c r="Y88" s="232"/>
      <c r="Z88" s="228" t="s">
        <v>604</v>
      </c>
      <c r="AA88" s="229"/>
      <c r="AB88" s="229"/>
      <c r="AE88" s="184"/>
      <c r="AF88" s="184"/>
    </row>
    <row r="89" spans="1:32" s="1" customFormat="1" ht="19.5" customHeight="1" x14ac:dyDescent="0.3">
      <c r="A89" s="409"/>
      <c r="B89" s="396"/>
      <c r="C89" s="376"/>
      <c r="D89" s="386" t="s">
        <v>210</v>
      </c>
      <c r="E89" s="386" t="s">
        <v>293</v>
      </c>
      <c r="F89" s="384">
        <v>2</v>
      </c>
      <c r="G89" s="386" t="s">
        <v>35</v>
      </c>
      <c r="H89" s="386">
        <v>15</v>
      </c>
      <c r="I89" s="386"/>
      <c r="J89" s="384">
        <v>38</v>
      </c>
      <c r="K89" s="384"/>
      <c r="L89" s="384"/>
      <c r="M89" s="384"/>
      <c r="N89" s="384"/>
      <c r="O89" s="384">
        <v>7</v>
      </c>
      <c r="P89" s="230"/>
      <c r="Q89" s="230"/>
      <c r="R89" s="230"/>
      <c r="S89" s="230"/>
      <c r="T89" s="231"/>
      <c r="U89" s="384"/>
      <c r="V89" s="384"/>
      <c r="W89" s="384"/>
      <c r="X89" s="384"/>
      <c r="Y89" s="232">
        <v>1.5</v>
      </c>
      <c r="Z89" s="228" t="s">
        <v>604</v>
      </c>
      <c r="AA89" s="229"/>
      <c r="AB89" s="229"/>
      <c r="AE89" s="184"/>
      <c r="AF89" s="184"/>
    </row>
    <row r="90" spans="1:32" s="1" customFormat="1" ht="21" customHeight="1" x14ac:dyDescent="0.3">
      <c r="A90" s="409"/>
      <c r="B90" s="396"/>
      <c r="C90" s="376"/>
      <c r="D90" s="225" t="s">
        <v>43</v>
      </c>
      <c r="E90" s="386" t="s">
        <v>322</v>
      </c>
      <c r="F90" s="384">
        <v>2</v>
      </c>
      <c r="G90" s="386" t="s">
        <v>35</v>
      </c>
      <c r="H90" s="386">
        <v>23</v>
      </c>
      <c r="I90" s="386"/>
      <c r="J90" s="384"/>
      <c r="K90" s="384"/>
      <c r="L90" s="384"/>
      <c r="M90" s="384"/>
      <c r="N90" s="384"/>
      <c r="O90" s="384"/>
      <c r="P90" s="384"/>
      <c r="Q90" s="230"/>
      <c r="R90" s="230"/>
      <c r="S90" s="230"/>
      <c r="T90" s="231"/>
      <c r="U90" s="384"/>
      <c r="V90" s="384"/>
      <c r="W90" s="384"/>
      <c r="X90" s="384"/>
      <c r="Y90" s="232"/>
      <c r="Z90" s="228" t="s">
        <v>604</v>
      </c>
      <c r="AA90" s="229"/>
      <c r="AB90" s="229"/>
      <c r="AE90" s="184"/>
      <c r="AF90" s="184"/>
    </row>
    <row r="91" spans="1:32" s="1" customFormat="1" ht="19.5" customHeight="1" x14ac:dyDescent="0.3">
      <c r="A91" s="409"/>
      <c r="B91" s="396"/>
      <c r="C91" s="376"/>
      <c r="D91" s="386" t="s">
        <v>60</v>
      </c>
      <c r="E91" s="386" t="s">
        <v>295</v>
      </c>
      <c r="F91" s="384">
        <v>2</v>
      </c>
      <c r="G91" s="384" t="s">
        <v>35</v>
      </c>
      <c r="H91" s="386">
        <v>30</v>
      </c>
      <c r="I91" s="386"/>
      <c r="J91" s="384">
        <v>38</v>
      </c>
      <c r="K91" s="384"/>
      <c r="L91" s="384"/>
      <c r="M91" s="384"/>
      <c r="N91" s="384"/>
      <c r="O91" s="384">
        <v>7</v>
      </c>
      <c r="P91" s="230"/>
      <c r="Q91" s="230"/>
      <c r="R91" s="230"/>
      <c r="S91" s="230"/>
      <c r="T91" s="231"/>
      <c r="U91" s="384"/>
      <c r="V91" s="384"/>
      <c r="W91" s="384"/>
      <c r="X91" s="384"/>
      <c r="Y91" s="232">
        <v>1.5</v>
      </c>
      <c r="Z91" s="228" t="s">
        <v>607</v>
      </c>
      <c r="AA91" s="229"/>
      <c r="AB91" s="229"/>
      <c r="AE91" s="184"/>
      <c r="AF91" s="184"/>
    </row>
    <row r="92" spans="1:32" s="1" customFormat="1" ht="19.5" customHeight="1" x14ac:dyDescent="0.3">
      <c r="A92" s="409"/>
      <c r="B92" s="396"/>
      <c r="C92" s="376"/>
      <c r="D92" s="225" t="s">
        <v>114</v>
      </c>
      <c r="E92" s="384" t="s">
        <v>296</v>
      </c>
      <c r="F92" s="384">
        <v>2</v>
      </c>
      <c r="G92" s="386" t="s">
        <v>35</v>
      </c>
      <c r="H92" s="386">
        <v>30</v>
      </c>
      <c r="I92" s="386">
        <v>15</v>
      </c>
      <c r="J92" s="384"/>
      <c r="K92" s="384"/>
      <c r="L92" s="384"/>
      <c r="M92" s="384"/>
      <c r="N92" s="384"/>
      <c r="O92" s="384"/>
      <c r="P92" s="230"/>
      <c r="Q92" s="230"/>
      <c r="R92" s="230"/>
      <c r="S92" s="230"/>
      <c r="T92" s="231"/>
      <c r="U92" s="384"/>
      <c r="V92" s="384"/>
      <c r="W92" s="384"/>
      <c r="X92" s="384"/>
      <c r="Y92" s="232"/>
      <c r="Z92" s="228" t="s">
        <v>604</v>
      </c>
      <c r="AA92" s="229"/>
      <c r="AB92" s="229"/>
      <c r="AE92" s="184"/>
      <c r="AF92" s="184"/>
    </row>
    <row r="93" spans="1:32" s="1" customFormat="1" ht="19.5" customHeight="1" x14ac:dyDescent="0.3">
      <c r="A93" s="409"/>
      <c r="B93" s="396"/>
      <c r="C93" s="376"/>
      <c r="D93" s="225" t="s">
        <v>46</v>
      </c>
      <c r="E93" s="386" t="s">
        <v>301</v>
      </c>
      <c r="F93" s="384">
        <v>2</v>
      </c>
      <c r="G93" s="386" t="s">
        <v>35</v>
      </c>
      <c r="H93" s="386">
        <v>30</v>
      </c>
      <c r="I93" s="386"/>
      <c r="J93" s="384"/>
      <c r="K93" s="384"/>
      <c r="L93" s="384"/>
      <c r="M93" s="384"/>
      <c r="N93" s="384"/>
      <c r="O93" s="384"/>
      <c r="P93" s="230"/>
      <c r="Q93" s="230"/>
      <c r="R93" s="230"/>
      <c r="S93" s="230"/>
      <c r="T93" s="231"/>
      <c r="U93" s="384"/>
      <c r="V93" s="384"/>
      <c r="W93" s="384"/>
      <c r="X93" s="384"/>
      <c r="Y93" s="232"/>
      <c r="Z93" s="228" t="s">
        <v>604</v>
      </c>
      <c r="AA93" s="229"/>
      <c r="AB93" s="229"/>
      <c r="AE93" s="184"/>
      <c r="AF93" s="184"/>
    </row>
    <row r="94" spans="1:32" s="1" customFormat="1" ht="19.5" customHeight="1" x14ac:dyDescent="0.3">
      <c r="A94" s="409"/>
      <c r="B94" s="396"/>
      <c r="C94" s="376"/>
      <c r="D94" s="386" t="s">
        <v>81</v>
      </c>
      <c r="E94" s="386" t="s">
        <v>304</v>
      </c>
      <c r="F94" s="384">
        <v>2</v>
      </c>
      <c r="G94" s="386" t="s">
        <v>35</v>
      </c>
      <c r="H94" s="386">
        <v>30</v>
      </c>
      <c r="I94" s="386"/>
      <c r="J94" s="384"/>
      <c r="K94" s="384"/>
      <c r="L94" s="384"/>
      <c r="M94" s="384"/>
      <c r="N94" s="384"/>
      <c r="O94" s="384"/>
      <c r="P94" s="230"/>
      <c r="Q94" s="230"/>
      <c r="R94" s="230"/>
      <c r="S94" s="230"/>
      <c r="T94" s="231"/>
      <c r="U94" s="384"/>
      <c r="V94" s="384"/>
      <c r="W94" s="384"/>
      <c r="X94" s="384"/>
      <c r="Y94" s="232"/>
      <c r="Z94" s="228" t="s">
        <v>604</v>
      </c>
      <c r="AA94" s="229"/>
      <c r="AB94" s="229"/>
      <c r="AE94" s="184"/>
      <c r="AF94" s="184"/>
    </row>
    <row r="95" spans="1:32" s="1" customFormat="1" ht="19.5" customHeight="1" x14ac:dyDescent="0.3">
      <c r="A95" s="409"/>
      <c r="B95" s="396"/>
      <c r="C95" s="376"/>
      <c r="D95" s="386" t="s">
        <v>81</v>
      </c>
      <c r="E95" s="386" t="s">
        <v>527</v>
      </c>
      <c r="F95" s="384">
        <v>2</v>
      </c>
      <c r="G95" s="386" t="s">
        <v>35</v>
      </c>
      <c r="H95" s="386">
        <v>30</v>
      </c>
      <c r="I95" s="386"/>
      <c r="J95" s="384"/>
      <c r="K95" s="384"/>
      <c r="L95" s="384"/>
      <c r="M95" s="384"/>
      <c r="N95" s="384"/>
      <c r="O95" s="384"/>
      <c r="P95" s="230"/>
      <c r="Q95" s="230"/>
      <c r="R95" s="230"/>
      <c r="S95" s="230"/>
      <c r="T95" s="231"/>
      <c r="U95" s="384"/>
      <c r="V95" s="384"/>
      <c r="W95" s="384"/>
      <c r="X95" s="384"/>
      <c r="Y95" s="232"/>
      <c r="Z95" s="228" t="s">
        <v>604</v>
      </c>
      <c r="AA95" s="229"/>
      <c r="AB95" s="229"/>
      <c r="AE95" s="184"/>
      <c r="AF95" s="184"/>
    </row>
    <row r="96" spans="1:32" s="1" customFormat="1" ht="19.5" customHeight="1" x14ac:dyDescent="0.3">
      <c r="A96" s="409"/>
      <c r="B96" s="396"/>
      <c r="C96" s="376"/>
      <c r="D96" s="386" t="s">
        <v>81</v>
      </c>
      <c r="E96" s="386" t="s">
        <v>528</v>
      </c>
      <c r="F96" s="384">
        <v>2</v>
      </c>
      <c r="G96" s="386" t="s">
        <v>35</v>
      </c>
      <c r="H96" s="386">
        <v>30</v>
      </c>
      <c r="I96" s="386"/>
      <c r="J96" s="384"/>
      <c r="K96" s="384"/>
      <c r="L96" s="384"/>
      <c r="M96" s="384"/>
      <c r="N96" s="384"/>
      <c r="O96" s="384"/>
      <c r="P96" s="230"/>
      <c r="Q96" s="230"/>
      <c r="R96" s="230"/>
      <c r="S96" s="230"/>
      <c r="T96" s="231"/>
      <c r="U96" s="384"/>
      <c r="V96" s="384"/>
      <c r="W96" s="384"/>
      <c r="X96" s="384"/>
      <c r="Y96" s="232"/>
      <c r="Z96" s="228" t="s">
        <v>604</v>
      </c>
      <c r="AA96" s="229"/>
      <c r="AB96" s="229"/>
      <c r="AE96" s="184"/>
      <c r="AF96" s="184"/>
    </row>
    <row r="97" spans="1:32" s="1" customFormat="1" ht="19.5" customHeight="1" x14ac:dyDescent="0.3">
      <c r="A97" s="409"/>
      <c r="B97" s="396"/>
      <c r="C97" s="376"/>
      <c r="D97" s="225" t="s">
        <v>114</v>
      </c>
      <c r="E97" s="384" t="s">
        <v>296</v>
      </c>
      <c r="F97" s="384">
        <v>2</v>
      </c>
      <c r="G97" s="386" t="s">
        <v>35</v>
      </c>
      <c r="H97" s="386">
        <v>30</v>
      </c>
      <c r="I97" s="386"/>
      <c r="J97" s="384">
        <v>38</v>
      </c>
      <c r="K97" s="384"/>
      <c r="L97" s="384"/>
      <c r="M97" s="384"/>
      <c r="N97" s="384"/>
      <c r="O97" s="384">
        <v>7</v>
      </c>
      <c r="P97" s="230"/>
      <c r="Q97" s="230"/>
      <c r="R97" s="230"/>
      <c r="S97" s="230"/>
      <c r="T97" s="231"/>
      <c r="U97" s="384"/>
      <c r="V97" s="384"/>
      <c r="W97" s="384"/>
      <c r="X97" s="384"/>
      <c r="Y97" s="232">
        <v>2</v>
      </c>
      <c r="Z97" s="228" t="s">
        <v>607</v>
      </c>
      <c r="AA97" s="229"/>
      <c r="AB97" s="229"/>
      <c r="AE97" s="184"/>
      <c r="AF97" s="184"/>
    </row>
    <row r="98" spans="1:32" s="1" customFormat="1" ht="19.5" customHeight="1" x14ac:dyDescent="0.3">
      <c r="A98" s="409"/>
      <c r="B98" s="396"/>
      <c r="C98" s="376"/>
      <c r="D98" s="225" t="s">
        <v>46</v>
      </c>
      <c r="E98" s="386" t="s">
        <v>301</v>
      </c>
      <c r="F98" s="384">
        <v>2</v>
      </c>
      <c r="G98" s="386" t="s">
        <v>35</v>
      </c>
      <c r="H98" s="386">
        <v>30</v>
      </c>
      <c r="I98" s="386"/>
      <c r="J98" s="384">
        <v>38</v>
      </c>
      <c r="K98" s="384"/>
      <c r="L98" s="384"/>
      <c r="M98" s="384"/>
      <c r="N98" s="384"/>
      <c r="O98" s="384">
        <v>7</v>
      </c>
      <c r="P98" s="230"/>
      <c r="Q98" s="230"/>
      <c r="R98" s="230"/>
      <c r="S98" s="230"/>
      <c r="T98" s="231"/>
      <c r="U98" s="384"/>
      <c r="V98" s="384"/>
      <c r="W98" s="384"/>
      <c r="X98" s="384"/>
      <c r="Y98" s="232">
        <v>1.5</v>
      </c>
      <c r="Z98" s="228" t="s">
        <v>607</v>
      </c>
      <c r="AA98" s="229"/>
      <c r="AB98" s="229"/>
      <c r="AE98" s="184"/>
      <c r="AF98" s="184"/>
    </row>
    <row r="99" spans="1:32" s="1" customFormat="1" ht="19.5" customHeight="1" x14ac:dyDescent="0.3">
      <c r="A99" s="409"/>
      <c r="B99" s="396"/>
      <c r="C99" s="376"/>
      <c r="D99" s="386" t="s">
        <v>81</v>
      </c>
      <c r="E99" s="386" t="s">
        <v>304</v>
      </c>
      <c r="F99" s="384">
        <v>2</v>
      </c>
      <c r="G99" s="386" t="s">
        <v>35</v>
      </c>
      <c r="H99" s="386">
        <v>30</v>
      </c>
      <c r="I99" s="386"/>
      <c r="J99" s="384">
        <v>38</v>
      </c>
      <c r="K99" s="384"/>
      <c r="L99" s="384"/>
      <c r="M99" s="384"/>
      <c r="N99" s="384"/>
      <c r="O99" s="384">
        <v>7</v>
      </c>
      <c r="P99" s="230"/>
      <c r="Q99" s="230"/>
      <c r="R99" s="230"/>
      <c r="S99" s="230"/>
      <c r="T99" s="231"/>
      <c r="U99" s="384"/>
      <c r="V99" s="384"/>
      <c r="W99" s="384"/>
      <c r="X99" s="384"/>
      <c r="Y99" s="232">
        <v>1.5</v>
      </c>
      <c r="Z99" s="228" t="s">
        <v>607</v>
      </c>
      <c r="AA99" s="229"/>
      <c r="AB99" s="229"/>
      <c r="AE99" s="184"/>
      <c r="AF99" s="184"/>
    </row>
    <row r="100" spans="1:32" s="1" customFormat="1" ht="19.5" customHeight="1" x14ac:dyDescent="0.3">
      <c r="A100" s="409"/>
      <c r="B100" s="396"/>
      <c r="C100" s="376"/>
      <c r="D100" s="386" t="s">
        <v>81</v>
      </c>
      <c r="E100" s="386" t="s">
        <v>527</v>
      </c>
      <c r="F100" s="384">
        <v>2</v>
      </c>
      <c r="G100" s="386" t="s">
        <v>35</v>
      </c>
      <c r="H100" s="386">
        <v>30</v>
      </c>
      <c r="I100" s="386"/>
      <c r="J100" s="384">
        <v>38</v>
      </c>
      <c r="K100" s="384"/>
      <c r="L100" s="384"/>
      <c r="M100" s="384"/>
      <c r="N100" s="384"/>
      <c r="O100" s="384">
        <v>7</v>
      </c>
      <c r="P100" s="230"/>
      <c r="Q100" s="230"/>
      <c r="R100" s="230"/>
      <c r="S100" s="230"/>
      <c r="T100" s="231"/>
      <c r="U100" s="384"/>
      <c r="V100" s="384"/>
      <c r="W100" s="384"/>
      <c r="X100" s="384"/>
      <c r="Y100" s="232">
        <v>1.5</v>
      </c>
      <c r="Z100" s="228" t="s">
        <v>607</v>
      </c>
      <c r="AA100" s="229"/>
      <c r="AB100" s="229"/>
      <c r="AE100" s="184"/>
      <c r="AF100" s="184"/>
    </row>
    <row r="101" spans="1:32" s="1" customFormat="1" ht="19.5" customHeight="1" x14ac:dyDescent="0.3">
      <c r="A101" s="409"/>
      <c r="B101" s="396"/>
      <c r="C101" s="376"/>
      <c r="D101" s="386" t="s">
        <v>81</v>
      </c>
      <c r="E101" s="386" t="s">
        <v>528</v>
      </c>
      <c r="F101" s="384">
        <v>2</v>
      </c>
      <c r="G101" s="386" t="s">
        <v>35</v>
      </c>
      <c r="H101" s="386">
        <v>30</v>
      </c>
      <c r="I101" s="386"/>
      <c r="J101" s="384">
        <v>38</v>
      </c>
      <c r="K101" s="384"/>
      <c r="L101" s="384"/>
      <c r="M101" s="384"/>
      <c r="N101" s="384"/>
      <c r="O101" s="384">
        <v>7</v>
      </c>
      <c r="P101" s="230"/>
      <c r="Q101" s="230"/>
      <c r="R101" s="230"/>
      <c r="S101" s="230"/>
      <c r="T101" s="231"/>
      <c r="U101" s="384"/>
      <c r="V101" s="384"/>
      <c r="W101" s="384"/>
      <c r="X101" s="384"/>
      <c r="Y101" s="232">
        <v>1.5</v>
      </c>
      <c r="Z101" s="228" t="s">
        <v>607</v>
      </c>
      <c r="AA101" s="229"/>
      <c r="AB101" s="229"/>
      <c r="AE101" s="184"/>
      <c r="AF101" s="184"/>
    </row>
    <row r="102" spans="1:32" s="1" customFormat="1" ht="19.5" customHeight="1" x14ac:dyDescent="0.3">
      <c r="A102" s="409"/>
      <c r="B102" s="396"/>
      <c r="C102" s="376"/>
      <c r="D102" s="225" t="s">
        <v>41</v>
      </c>
      <c r="E102" s="384" t="s">
        <v>318</v>
      </c>
      <c r="F102" s="384">
        <v>2</v>
      </c>
      <c r="G102" s="384" t="s">
        <v>35</v>
      </c>
      <c r="H102" s="386">
        <v>7</v>
      </c>
      <c r="I102" s="386">
        <v>15</v>
      </c>
      <c r="J102" s="384"/>
      <c r="K102" s="384"/>
      <c r="L102" s="384"/>
      <c r="M102" s="384"/>
      <c r="N102" s="384"/>
      <c r="O102" s="384"/>
      <c r="P102" s="230"/>
      <c r="Q102" s="230"/>
      <c r="R102" s="230"/>
      <c r="S102" s="230"/>
      <c r="T102" s="231"/>
      <c r="U102" s="384"/>
      <c r="V102" s="384"/>
      <c r="W102" s="384"/>
      <c r="X102" s="384"/>
      <c r="Y102" s="232"/>
      <c r="Z102" s="228" t="s">
        <v>604</v>
      </c>
      <c r="AA102" s="229"/>
      <c r="AB102" s="229"/>
      <c r="AE102" s="184"/>
      <c r="AF102" s="184"/>
    </row>
    <row r="103" spans="1:32" s="1" customFormat="1" ht="19.5" customHeight="1" x14ac:dyDescent="0.3">
      <c r="A103" s="409"/>
      <c r="B103" s="396"/>
      <c r="C103" s="376"/>
      <c r="D103" s="384" t="s">
        <v>51</v>
      </c>
      <c r="E103" s="384" t="s">
        <v>299</v>
      </c>
      <c r="F103" s="384">
        <v>2</v>
      </c>
      <c r="G103" s="386" t="s">
        <v>35</v>
      </c>
      <c r="H103" s="386">
        <v>26</v>
      </c>
      <c r="I103" s="386"/>
      <c r="J103" s="384"/>
      <c r="K103" s="384"/>
      <c r="L103" s="384"/>
      <c r="M103" s="384"/>
      <c r="N103" s="384"/>
      <c r="O103" s="384"/>
      <c r="P103" s="230"/>
      <c r="Q103" s="230"/>
      <c r="R103" s="230"/>
      <c r="S103" s="230"/>
      <c r="T103" s="231"/>
      <c r="U103" s="384"/>
      <c r="V103" s="384"/>
      <c r="W103" s="384"/>
      <c r="X103" s="384"/>
      <c r="Y103" s="232"/>
      <c r="Z103" s="228" t="s">
        <v>604</v>
      </c>
      <c r="AA103" s="229"/>
      <c r="AB103" s="229"/>
      <c r="AE103" s="184"/>
      <c r="AF103" s="184"/>
    </row>
    <row r="104" spans="1:32" s="1" customFormat="1" ht="19.5" customHeight="1" x14ac:dyDescent="0.3">
      <c r="A104" s="409"/>
      <c r="B104" s="396"/>
      <c r="C104" s="376"/>
      <c r="D104" s="225" t="s">
        <v>52</v>
      </c>
      <c r="E104" s="386" t="s">
        <v>300</v>
      </c>
      <c r="F104" s="384">
        <v>2</v>
      </c>
      <c r="G104" s="386" t="s">
        <v>35</v>
      </c>
      <c r="H104" s="386">
        <v>30</v>
      </c>
      <c r="I104" s="386"/>
      <c r="J104" s="384"/>
      <c r="K104" s="384"/>
      <c r="L104" s="384"/>
      <c r="M104" s="384"/>
      <c r="N104" s="384"/>
      <c r="O104" s="384"/>
      <c r="P104" s="230"/>
      <c r="Q104" s="230"/>
      <c r="R104" s="230"/>
      <c r="S104" s="230"/>
      <c r="T104" s="231"/>
      <c r="U104" s="384"/>
      <c r="V104" s="384"/>
      <c r="W104" s="384"/>
      <c r="X104" s="384"/>
      <c r="Y104" s="232"/>
      <c r="Z104" s="228" t="s">
        <v>604</v>
      </c>
      <c r="AA104" s="229"/>
      <c r="AB104" s="229"/>
      <c r="AE104" s="184"/>
      <c r="AF104" s="184"/>
    </row>
    <row r="105" spans="1:32" s="1" customFormat="1" ht="19.5" customHeight="1" x14ac:dyDescent="0.3">
      <c r="A105" s="409"/>
      <c r="B105" s="396"/>
      <c r="C105" s="376"/>
      <c r="D105" s="225" t="s">
        <v>52</v>
      </c>
      <c r="E105" s="386" t="s">
        <v>319</v>
      </c>
      <c r="F105" s="384">
        <v>2</v>
      </c>
      <c r="G105" s="386" t="s">
        <v>35</v>
      </c>
      <c r="H105" s="386">
        <v>29</v>
      </c>
      <c r="I105" s="386"/>
      <c r="J105" s="384"/>
      <c r="K105" s="384"/>
      <c r="L105" s="384"/>
      <c r="M105" s="384"/>
      <c r="N105" s="384"/>
      <c r="O105" s="384"/>
      <c r="P105" s="230"/>
      <c r="Q105" s="230"/>
      <c r="R105" s="230"/>
      <c r="S105" s="230"/>
      <c r="T105" s="231"/>
      <c r="U105" s="384"/>
      <c r="V105" s="384"/>
      <c r="W105" s="384"/>
      <c r="X105" s="384"/>
      <c r="Y105" s="232"/>
      <c r="Z105" s="228" t="s">
        <v>604</v>
      </c>
      <c r="AA105" s="229"/>
      <c r="AB105" s="229"/>
      <c r="AE105" s="184"/>
      <c r="AF105" s="184"/>
    </row>
    <row r="106" spans="1:32" s="1" customFormat="1" ht="19.5" customHeight="1" x14ac:dyDescent="0.3">
      <c r="A106" s="409"/>
      <c r="B106" s="396"/>
      <c r="C106" s="376"/>
      <c r="D106" s="225" t="s">
        <v>52</v>
      </c>
      <c r="E106" s="386" t="s">
        <v>302</v>
      </c>
      <c r="F106" s="384">
        <v>2</v>
      </c>
      <c r="G106" s="386" t="s">
        <v>35</v>
      </c>
      <c r="H106" s="386">
        <v>29</v>
      </c>
      <c r="I106" s="386"/>
      <c r="J106" s="384"/>
      <c r="K106" s="384"/>
      <c r="L106" s="384"/>
      <c r="M106" s="384"/>
      <c r="N106" s="384"/>
      <c r="O106" s="384"/>
      <c r="P106" s="230"/>
      <c r="Q106" s="230"/>
      <c r="R106" s="230"/>
      <c r="S106" s="230"/>
      <c r="T106" s="231"/>
      <c r="U106" s="384"/>
      <c r="V106" s="384"/>
      <c r="W106" s="384"/>
      <c r="X106" s="384"/>
      <c r="Y106" s="232"/>
      <c r="Z106" s="228" t="s">
        <v>604</v>
      </c>
      <c r="AA106" s="229"/>
      <c r="AB106" s="229"/>
      <c r="AE106" s="184"/>
      <c r="AF106" s="184"/>
    </row>
    <row r="107" spans="1:32" s="1" customFormat="1" ht="19.5" customHeight="1" x14ac:dyDescent="0.3">
      <c r="A107" s="409"/>
      <c r="B107" s="396"/>
      <c r="C107" s="376"/>
      <c r="D107" s="225" t="s">
        <v>52</v>
      </c>
      <c r="E107" s="386" t="s">
        <v>320</v>
      </c>
      <c r="F107" s="384">
        <v>2</v>
      </c>
      <c r="G107" s="386" t="s">
        <v>35</v>
      </c>
      <c r="H107" s="386">
        <v>29</v>
      </c>
      <c r="I107" s="386"/>
      <c r="J107" s="384"/>
      <c r="K107" s="384"/>
      <c r="L107" s="384"/>
      <c r="M107" s="384"/>
      <c r="N107" s="384"/>
      <c r="O107" s="384"/>
      <c r="P107" s="230"/>
      <c r="Q107" s="230"/>
      <c r="R107" s="230"/>
      <c r="S107" s="230"/>
      <c r="T107" s="231"/>
      <c r="U107" s="384"/>
      <c r="V107" s="384"/>
      <c r="W107" s="384"/>
      <c r="X107" s="384"/>
      <c r="Y107" s="232"/>
      <c r="Z107" s="228" t="s">
        <v>604</v>
      </c>
      <c r="AA107" s="229"/>
      <c r="AB107" s="229"/>
      <c r="AE107" s="184"/>
      <c r="AF107" s="184"/>
    </row>
    <row r="108" spans="1:32" s="1" customFormat="1" ht="19.5" customHeight="1" x14ac:dyDescent="0.3">
      <c r="A108" s="409"/>
      <c r="B108" s="396"/>
      <c r="C108" s="376"/>
      <c r="D108" s="225" t="s">
        <v>41</v>
      </c>
      <c r="E108" s="384" t="s">
        <v>318</v>
      </c>
      <c r="F108" s="384">
        <v>2</v>
      </c>
      <c r="G108" s="384" t="s">
        <v>35</v>
      </c>
      <c r="H108" s="386">
        <v>7</v>
      </c>
      <c r="I108" s="386"/>
      <c r="J108" s="384">
        <v>38</v>
      </c>
      <c r="K108" s="384"/>
      <c r="L108" s="384"/>
      <c r="M108" s="384"/>
      <c r="N108" s="384"/>
      <c r="O108" s="384">
        <v>7</v>
      </c>
      <c r="P108" s="384"/>
      <c r="Q108" s="230"/>
      <c r="R108" s="230"/>
      <c r="S108" s="230"/>
      <c r="T108" s="231"/>
      <c r="U108" s="384"/>
      <c r="V108" s="384"/>
      <c r="W108" s="384"/>
      <c r="X108" s="384"/>
      <c r="Y108" s="232">
        <v>2</v>
      </c>
      <c r="Z108" s="228" t="s">
        <v>607</v>
      </c>
      <c r="AA108" s="229"/>
      <c r="AB108" s="229"/>
      <c r="AE108" s="184"/>
      <c r="AF108" s="184"/>
    </row>
    <row r="109" spans="1:32" s="1" customFormat="1" ht="19.5" customHeight="1" x14ac:dyDescent="0.3">
      <c r="A109" s="409"/>
      <c r="B109" s="396"/>
      <c r="C109" s="376"/>
      <c r="D109" s="384" t="s">
        <v>51</v>
      </c>
      <c r="E109" s="384" t="s">
        <v>299</v>
      </c>
      <c r="F109" s="384">
        <v>2</v>
      </c>
      <c r="G109" s="386" t="s">
        <v>35</v>
      </c>
      <c r="H109" s="386">
        <v>26</v>
      </c>
      <c r="I109" s="386"/>
      <c r="J109" s="384"/>
      <c r="K109" s="384"/>
      <c r="L109" s="384"/>
      <c r="M109" s="384"/>
      <c r="N109" s="384"/>
      <c r="O109" s="384"/>
      <c r="P109" s="384"/>
      <c r="Q109" s="230"/>
      <c r="R109" s="230"/>
      <c r="S109" s="230"/>
      <c r="T109" s="231"/>
      <c r="U109" s="384"/>
      <c r="V109" s="384"/>
      <c r="W109" s="384"/>
      <c r="X109" s="384"/>
      <c r="Y109" s="232"/>
      <c r="Z109" s="228" t="s">
        <v>607</v>
      </c>
      <c r="AA109" s="229"/>
      <c r="AB109" s="229"/>
      <c r="AE109" s="184"/>
      <c r="AF109" s="184"/>
    </row>
    <row r="110" spans="1:32" s="1" customFormat="1" ht="19.5" customHeight="1" x14ac:dyDescent="0.3">
      <c r="A110" s="409"/>
      <c r="B110" s="396"/>
      <c r="C110" s="376"/>
      <c r="D110" s="225" t="s">
        <v>52</v>
      </c>
      <c r="E110" s="386" t="s">
        <v>300</v>
      </c>
      <c r="F110" s="384">
        <v>2</v>
      </c>
      <c r="G110" s="386" t="s">
        <v>35</v>
      </c>
      <c r="H110" s="386">
        <v>30</v>
      </c>
      <c r="I110" s="386"/>
      <c r="J110" s="384">
        <v>38</v>
      </c>
      <c r="K110" s="384"/>
      <c r="L110" s="384"/>
      <c r="M110" s="384"/>
      <c r="N110" s="384"/>
      <c r="O110" s="384">
        <v>7</v>
      </c>
      <c r="P110" s="384"/>
      <c r="Q110" s="230"/>
      <c r="R110" s="230"/>
      <c r="S110" s="230"/>
      <c r="T110" s="231"/>
      <c r="U110" s="384"/>
      <c r="V110" s="384"/>
      <c r="W110" s="384"/>
      <c r="X110" s="384"/>
      <c r="Y110" s="232">
        <v>1.5</v>
      </c>
      <c r="Z110" s="228" t="s">
        <v>605</v>
      </c>
      <c r="AA110" s="229"/>
      <c r="AB110" s="229"/>
      <c r="AE110" s="184"/>
      <c r="AF110" s="184"/>
    </row>
    <row r="111" spans="1:32" s="1" customFormat="1" ht="19.5" customHeight="1" x14ac:dyDescent="0.3">
      <c r="A111" s="409"/>
      <c r="B111" s="396"/>
      <c r="C111" s="376"/>
      <c r="D111" s="225" t="s">
        <v>52</v>
      </c>
      <c r="E111" s="386" t="s">
        <v>319</v>
      </c>
      <c r="F111" s="384">
        <v>2</v>
      </c>
      <c r="G111" s="386" t="s">
        <v>35</v>
      </c>
      <c r="H111" s="386">
        <v>30</v>
      </c>
      <c r="I111" s="386"/>
      <c r="J111" s="384">
        <v>38</v>
      </c>
      <c r="K111" s="384"/>
      <c r="L111" s="384"/>
      <c r="M111" s="384"/>
      <c r="N111" s="384"/>
      <c r="O111" s="384">
        <v>7</v>
      </c>
      <c r="P111" s="230"/>
      <c r="Q111" s="230"/>
      <c r="R111" s="230"/>
      <c r="S111" s="230"/>
      <c r="T111" s="231"/>
      <c r="U111" s="384"/>
      <c r="V111" s="384"/>
      <c r="W111" s="384"/>
      <c r="X111" s="384"/>
      <c r="Y111" s="232">
        <v>1.5</v>
      </c>
      <c r="Z111" s="228" t="s">
        <v>605</v>
      </c>
      <c r="AA111" s="229"/>
      <c r="AB111" s="229"/>
      <c r="AE111" s="184"/>
      <c r="AF111" s="184"/>
    </row>
    <row r="112" spans="1:32" s="1" customFormat="1" ht="19.5" customHeight="1" x14ac:dyDescent="0.3">
      <c r="A112" s="409"/>
      <c r="B112" s="396"/>
      <c r="C112" s="376"/>
      <c r="D112" s="225" t="s">
        <v>52</v>
      </c>
      <c r="E112" s="386" t="s">
        <v>302</v>
      </c>
      <c r="F112" s="384">
        <v>2</v>
      </c>
      <c r="G112" s="386" t="s">
        <v>35</v>
      </c>
      <c r="H112" s="386">
        <v>29</v>
      </c>
      <c r="I112" s="386"/>
      <c r="J112" s="384">
        <v>38</v>
      </c>
      <c r="K112" s="384"/>
      <c r="L112" s="384"/>
      <c r="M112" s="384"/>
      <c r="N112" s="384"/>
      <c r="O112" s="384">
        <v>7</v>
      </c>
      <c r="P112" s="230"/>
      <c r="Q112" s="230"/>
      <c r="R112" s="230"/>
      <c r="S112" s="230"/>
      <c r="T112" s="231"/>
      <c r="U112" s="384"/>
      <c r="V112" s="384"/>
      <c r="W112" s="384"/>
      <c r="X112" s="384"/>
      <c r="Y112" s="232">
        <v>1.5</v>
      </c>
      <c r="Z112" s="228" t="s">
        <v>605</v>
      </c>
      <c r="AA112" s="229"/>
      <c r="AB112" s="229"/>
      <c r="AE112" s="184"/>
      <c r="AF112" s="184"/>
    </row>
    <row r="113" spans="1:32" s="1" customFormat="1" ht="19.5" customHeight="1" x14ac:dyDescent="0.3">
      <c r="A113" s="409"/>
      <c r="B113" s="396"/>
      <c r="C113" s="376"/>
      <c r="D113" s="225" t="s">
        <v>52</v>
      </c>
      <c r="E113" s="386" t="s">
        <v>320</v>
      </c>
      <c r="F113" s="384">
        <v>2</v>
      </c>
      <c r="G113" s="386" t="s">
        <v>35</v>
      </c>
      <c r="H113" s="386">
        <v>29</v>
      </c>
      <c r="I113" s="386"/>
      <c r="J113" s="384">
        <v>38</v>
      </c>
      <c r="K113" s="384"/>
      <c r="L113" s="384"/>
      <c r="M113" s="384"/>
      <c r="N113" s="384"/>
      <c r="O113" s="384">
        <v>7</v>
      </c>
      <c r="P113" s="230"/>
      <c r="Q113" s="230"/>
      <c r="R113" s="230"/>
      <c r="S113" s="230"/>
      <c r="T113" s="231"/>
      <c r="U113" s="384"/>
      <c r="V113" s="384"/>
      <c r="W113" s="384"/>
      <c r="X113" s="384"/>
      <c r="Y113" s="232">
        <v>1.5</v>
      </c>
      <c r="Z113" s="228" t="s">
        <v>605</v>
      </c>
      <c r="AA113" s="229"/>
      <c r="AB113" s="229"/>
      <c r="AE113" s="184"/>
      <c r="AF113" s="184"/>
    </row>
    <row r="114" spans="1:32" s="1" customFormat="1" ht="19.5" customHeight="1" x14ac:dyDescent="0.3">
      <c r="A114" s="409"/>
      <c r="B114" s="396"/>
      <c r="C114" s="376"/>
      <c r="D114" s="384" t="s">
        <v>62</v>
      </c>
      <c r="E114" s="384" t="s">
        <v>305</v>
      </c>
      <c r="F114" s="384">
        <v>2</v>
      </c>
      <c r="G114" s="384" t="s">
        <v>32</v>
      </c>
      <c r="H114" s="386">
        <v>8</v>
      </c>
      <c r="I114" s="386">
        <v>15</v>
      </c>
      <c r="J114" s="384"/>
      <c r="K114" s="384"/>
      <c r="L114" s="384"/>
      <c r="M114" s="384"/>
      <c r="N114" s="384"/>
      <c r="O114" s="384"/>
      <c r="P114" s="230"/>
      <c r="Q114" s="230"/>
      <c r="R114" s="230"/>
      <c r="S114" s="230"/>
      <c r="T114" s="231"/>
      <c r="U114" s="384"/>
      <c r="V114" s="384"/>
      <c r="W114" s="384"/>
      <c r="X114" s="384"/>
      <c r="Y114" s="232"/>
      <c r="Z114" s="228" t="s">
        <v>612</v>
      </c>
      <c r="AA114" s="229"/>
      <c r="AB114" s="229"/>
      <c r="AE114" s="184"/>
      <c r="AF114" s="184"/>
    </row>
    <row r="115" spans="1:32" s="1" customFormat="1" ht="19.5" customHeight="1" x14ac:dyDescent="0.3">
      <c r="A115" s="409"/>
      <c r="B115" s="396"/>
      <c r="C115" s="376"/>
      <c r="D115" s="386" t="s">
        <v>81</v>
      </c>
      <c r="E115" s="386" t="s">
        <v>311</v>
      </c>
      <c r="F115" s="384">
        <v>2</v>
      </c>
      <c r="G115" s="384" t="s">
        <v>32</v>
      </c>
      <c r="H115" s="386">
        <v>21</v>
      </c>
      <c r="I115" s="386"/>
      <c r="J115" s="384"/>
      <c r="K115" s="384"/>
      <c r="L115" s="384"/>
      <c r="M115" s="384"/>
      <c r="N115" s="384"/>
      <c r="O115" s="384"/>
      <c r="P115" s="230"/>
      <c r="Q115" s="230"/>
      <c r="R115" s="230"/>
      <c r="S115" s="230"/>
      <c r="T115" s="231"/>
      <c r="U115" s="384"/>
      <c r="V115" s="384"/>
      <c r="W115" s="384"/>
      <c r="X115" s="384"/>
      <c r="Y115" s="232"/>
      <c r="Z115" s="228" t="s">
        <v>612</v>
      </c>
      <c r="AA115" s="229"/>
      <c r="AB115" s="229"/>
      <c r="AE115" s="184"/>
      <c r="AF115" s="184"/>
    </row>
    <row r="116" spans="1:32" s="1" customFormat="1" ht="19.5" customHeight="1" x14ac:dyDescent="0.3">
      <c r="A116" s="409"/>
      <c r="B116" s="396"/>
      <c r="C116" s="376"/>
      <c r="D116" s="384" t="s">
        <v>170</v>
      </c>
      <c r="E116" s="384" t="s">
        <v>306</v>
      </c>
      <c r="F116" s="384">
        <v>2</v>
      </c>
      <c r="G116" s="384" t="s">
        <v>32</v>
      </c>
      <c r="H116" s="386">
        <v>21</v>
      </c>
      <c r="I116" s="386"/>
      <c r="J116" s="384"/>
      <c r="K116" s="384"/>
      <c r="L116" s="384"/>
      <c r="M116" s="384"/>
      <c r="N116" s="384"/>
      <c r="O116" s="384"/>
      <c r="P116" s="230"/>
      <c r="Q116" s="230"/>
      <c r="R116" s="230"/>
      <c r="S116" s="230"/>
      <c r="T116" s="231"/>
      <c r="U116" s="384"/>
      <c r="V116" s="384"/>
      <c r="W116" s="384"/>
      <c r="X116" s="384"/>
      <c r="Y116" s="232"/>
      <c r="Z116" s="228" t="s">
        <v>612</v>
      </c>
      <c r="AA116" s="229"/>
      <c r="AB116" s="229"/>
      <c r="AE116" s="184"/>
      <c r="AF116" s="184"/>
    </row>
    <row r="117" spans="1:32" s="1" customFormat="1" ht="19.5" customHeight="1" x14ac:dyDescent="0.3">
      <c r="A117" s="409"/>
      <c r="B117" s="396"/>
      <c r="C117" s="376"/>
      <c r="D117" s="384" t="s">
        <v>61</v>
      </c>
      <c r="E117" s="384" t="s">
        <v>307</v>
      </c>
      <c r="F117" s="384">
        <v>2</v>
      </c>
      <c r="G117" s="384" t="s">
        <v>32</v>
      </c>
      <c r="H117" s="386">
        <v>11</v>
      </c>
      <c r="I117" s="386"/>
      <c r="J117" s="384"/>
      <c r="K117" s="384"/>
      <c r="L117" s="384"/>
      <c r="M117" s="384"/>
      <c r="N117" s="384"/>
      <c r="O117" s="384"/>
      <c r="P117" s="230"/>
      <c r="Q117" s="230"/>
      <c r="R117" s="230"/>
      <c r="S117" s="230"/>
      <c r="T117" s="231"/>
      <c r="U117" s="384"/>
      <c r="V117" s="384"/>
      <c r="W117" s="384"/>
      <c r="X117" s="384"/>
      <c r="Y117" s="232"/>
      <c r="Z117" s="228" t="s">
        <v>612</v>
      </c>
      <c r="AA117" s="229"/>
      <c r="AB117" s="229"/>
      <c r="AE117" s="184"/>
      <c r="AF117" s="184"/>
    </row>
    <row r="118" spans="1:32" s="1" customFormat="1" ht="19.5" customHeight="1" x14ac:dyDescent="0.3">
      <c r="A118" s="409"/>
      <c r="B118" s="396"/>
      <c r="C118" s="376"/>
      <c r="D118" s="225" t="s">
        <v>44</v>
      </c>
      <c r="E118" s="386" t="s">
        <v>308</v>
      </c>
      <c r="F118" s="384">
        <v>2</v>
      </c>
      <c r="G118" s="384" t="s">
        <v>32</v>
      </c>
      <c r="H118" s="386">
        <v>7</v>
      </c>
      <c r="I118" s="386"/>
      <c r="J118" s="384"/>
      <c r="K118" s="384"/>
      <c r="L118" s="384"/>
      <c r="M118" s="384"/>
      <c r="N118" s="384"/>
      <c r="O118" s="384"/>
      <c r="P118" s="230"/>
      <c r="Q118" s="230"/>
      <c r="R118" s="230"/>
      <c r="S118" s="230"/>
      <c r="T118" s="231"/>
      <c r="U118" s="384"/>
      <c r="V118" s="384"/>
      <c r="W118" s="384"/>
      <c r="X118" s="384"/>
      <c r="Y118" s="232"/>
      <c r="Z118" s="228" t="s">
        <v>612</v>
      </c>
      <c r="AA118" s="229"/>
      <c r="AB118" s="229"/>
      <c r="AE118" s="184"/>
      <c r="AF118" s="184"/>
    </row>
    <row r="119" spans="1:32" s="1" customFormat="1" ht="19.5" customHeight="1" x14ac:dyDescent="0.3">
      <c r="A119" s="409"/>
      <c r="B119" s="396"/>
      <c r="C119" s="376"/>
      <c r="D119" s="386" t="s">
        <v>210</v>
      </c>
      <c r="E119" s="386" t="s">
        <v>323</v>
      </c>
      <c r="F119" s="384">
        <v>2</v>
      </c>
      <c r="G119" s="384" t="s">
        <v>32</v>
      </c>
      <c r="H119" s="386">
        <v>4</v>
      </c>
      <c r="I119" s="386"/>
      <c r="J119" s="384"/>
      <c r="K119" s="384"/>
      <c r="L119" s="384"/>
      <c r="M119" s="384"/>
      <c r="N119" s="384"/>
      <c r="O119" s="384"/>
      <c r="P119" s="230"/>
      <c r="Q119" s="230"/>
      <c r="R119" s="230"/>
      <c r="S119" s="230"/>
      <c r="T119" s="231"/>
      <c r="U119" s="384"/>
      <c r="V119" s="384"/>
      <c r="W119" s="384"/>
      <c r="X119" s="384"/>
      <c r="Y119" s="232"/>
      <c r="Z119" s="228" t="s">
        <v>612</v>
      </c>
      <c r="AA119" s="229"/>
      <c r="AB119" s="229"/>
      <c r="AE119" s="184"/>
      <c r="AF119" s="184"/>
    </row>
    <row r="120" spans="1:32" s="1" customFormat="1" ht="19.5" customHeight="1" x14ac:dyDescent="0.3">
      <c r="A120" s="409"/>
      <c r="B120" s="396"/>
      <c r="C120" s="376"/>
      <c r="D120" s="225" t="s">
        <v>43</v>
      </c>
      <c r="E120" s="386" t="s">
        <v>309</v>
      </c>
      <c r="F120" s="384">
        <v>2</v>
      </c>
      <c r="G120" s="384" t="s">
        <v>32</v>
      </c>
      <c r="H120" s="386">
        <v>7</v>
      </c>
      <c r="I120" s="386"/>
      <c r="J120" s="384"/>
      <c r="K120" s="384"/>
      <c r="L120" s="384"/>
      <c r="M120" s="384"/>
      <c r="N120" s="384"/>
      <c r="O120" s="384"/>
      <c r="P120" s="230"/>
      <c r="Q120" s="230"/>
      <c r="R120" s="230"/>
      <c r="S120" s="230"/>
      <c r="T120" s="231"/>
      <c r="U120" s="384"/>
      <c r="V120" s="384"/>
      <c r="W120" s="384"/>
      <c r="X120" s="384"/>
      <c r="Y120" s="232"/>
      <c r="Z120" s="228" t="s">
        <v>612</v>
      </c>
      <c r="AA120" s="229"/>
      <c r="AB120" s="229"/>
      <c r="AE120" s="184"/>
      <c r="AF120" s="184"/>
    </row>
    <row r="121" spans="1:32" s="1" customFormat="1" ht="19.5" customHeight="1" x14ac:dyDescent="0.3">
      <c r="A121" s="409"/>
      <c r="B121" s="396"/>
      <c r="C121" s="376"/>
      <c r="D121" s="225" t="s">
        <v>41</v>
      </c>
      <c r="E121" s="384" t="s">
        <v>317</v>
      </c>
      <c r="F121" s="384">
        <v>2</v>
      </c>
      <c r="G121" s="384" t="s">
        <v>32</v>
      </c>
      <c r="H121" s="386">
        <v>6</v>
      </c>
      <c r="I121" s="386"/>
      <c r="J121" s="384"/>
      <c r="K121" s="384"/>
      <c r="L121" s="384"/>
      <c r="M121" s="384"/>
      <c r="N121" s="384"/>
      <c r="O121" s="384"/>
      <c r="P121" s="230"/>
      <c r="Q121" s="230"/>
      <c r="R121" s="230"/>
      <c r="S121" s="230"/>
      <c r="T121" s="231"/>
      <c r="U121" s="384"/>
      <c r="V121" s="384"/>
      <c r="W121" s="384"/>
      <c r="X121" s="384"/>
      <c r="Y121" s="232"/>
      <c r="Z121" s="228" t="s">
        <v>612</v>
      </c>
      <c r="AA121" s="229"/>
      <c r="AB121" s="229"/>
      <c r="AE121" s="184"/>
      <c r="AF121" s="184"/>
    </row>
    <row r="122" spans="1:32" s="1" customFormat="1" ht="19.5" customHeight="1" x14ac:dyDescent="0.3">
      <c r="A122" s="409"/>
      <c r="B122" s="396"/>
      <c r="C122" s="376"/>
      <c r="D122" s="384" t="s">
        <v>51</v>
      </c>
      <c r="E122" s="384" t="s">
        <v>314</v>
      </c>
      <c r="F122" s="384">
        <v>2</v>
      </c>
      <c r="G122" s="384" t="s">
        <v>32</v>
      </c>
      <c r="H122" s="386">
        <v>9</v>
      </c>
      <c r="I122" s="386"/>
      <c r="J122" s="384"/>
      <c r="K122" s="384"/>
      <c r="L122" s="384"/>
      <c r="M122" s="384"/>
      <c r="N122" s="384"/>
      <c r="O122" s="384"/>
      <c r="P122" s="230"/>
      <c r="Q122" s="230"/>
      <c r="R122" s="230"/>
      <c r="S122" s="230"/>
      <c r="T122" s="231"/>
      <c r="U122" s="384"/>
      <c r="V122" s="384"/>
      <c r="W122" s="384"/>
      <c r="X122" s="384"/>
      <c r="Y122" s="232"/>
      <c r="Z122" s="228" t="s">
        <v>612</v>
      </c>
      <c r="AA122" s="229"/>
      <c r="AB122" s="229"/>
      <c r="AE122" s="184"/>
      <c r="AF122" s="184"/>
    </row>
    <row r="123" spans="1:32" s="1" customFormat="1" ht="19.5" customHeight="1" x14ac:dyDescent="0.3">
      <c r="A123" s="409"/>
      <c r="B123" s="396"/>
      <c r="C123" s="376"/>
      <c r="D123" s="386" t="s">
        <v>60</v>
      </c>
      <c r="E123" s="386" t="s">
        <v>310</v>
      </c>
      <c r="F123" s="384">
        <v>2</v>
      </c>
      <c r="G123" s="384" t="s">
        <v>32</v>
      </c>
      <c r="H123" s="386">
        <v>16</v>
      </c>
      <c r="I123" s="386"/>
      <c r="J123" s="384"/>
      <c r="K123" s="384"/>
      <c r="L123" s="384"/>
      <c r="M123" s="384"/>
      <c r="N123" s="384"/>
      <c r="O123" s="384"/>
      <c r="P123" s="230"/>
      <c r="Q123" s="230"/>
      <c r="R123" s="230"/>
      <c r="S123" s="230"/>
      <c r="T123" s="231"/>
      <c r="U123" s="384"/>
      <c r="V123" s="384"/>
      <c r="W123" s="384"/>
      <c r="X123" s="384"/>
      <c r="Y123" s="232"/>
      <c r="Z123" s="228" t="s">
        <v>612</v>
      </c>
      <c r="AA123" s="229"/>
      <c r="AB123" s="229"/>
      <c r="AE123" s="184"/>
      <c r="AF123" s="184"/>
    </row>
    <row r="124" spans="1:32" s="1" customFormat="1" ht="19.5" customHeight="1" x14ac:dyDescent="0.3">
      <c r="A124" s="409"/>
      <c r="B124" s="396"/>
      <c r="C124" s="376"/>
      <c r="D124" s="225" t="s">
        <v>114</v>
      </c>
      <c r="E124" s="384" t="s">
        <v>312</v>
      </c>
      <c r="F124" s="384">
        <v>2</v>
      </c>
      <c r="G124" s="384" t="s">
        <v>32</v>
      </c>
      <c r="H124" s="386">
        <v>14</v>
      </c>
      <c r="I124" s="386"/>
      <c r="J124" s="384"/>
      <c r="K124" s="384"/>
      <c r="L124" s="384"/>
      <c r="M124" s="384"/>
      <c r="N124" s="384"/>
      <c r="O124" s="384"/>
      <c r="P124" s="230"/>
      <c r="Q124" s="230"/>
      <c r="R124" s="230"/>
      <c r="S124" s="230"/>
      <c r="T124" s="231"/>
      <c r="U124" s="384"/>
      <c r="V124" s="384"/>
      <c r="W124" s="384"/>
      <c r="X124" s="384"/>
      <c r="Y124" s="232"/>
      <c r="Z124" s="228" t="s">
        <v>612</v>
      </c>
      <c r="AA124" s="229"/>
      <c r="AB124" s="229"/>
      <c r="AE124" s="184"/>
      <c r="AF124" s="184"/>
    </row>
    <row r="125" spans="1:32" s="1" customFormat="1" ht="19.5" customHeight="1" x14ac:dyDescent="0.3">
      <c r="A125" s="409"/>
      <c r="B125" s="396"/>
      <c r="C125" s="376"/>
      <c r="D125" s="225" t="s">
        <v>46</v>
      </c>
      <c r="E125" s="386" t="s">
        <v>313</v>
      </c>
      <c r="F125" s="384">
        <v>2</v>
      </c>
      <c r="G125" s="384" t="s">
        <v>32</v>
      </c>
      <c r="H125" s="386">
        <v>12</v>
      </c>
      <c r="I125" s="386"/>
      <c r="J125" s="384"/>
      <c r="K125" s="384"/>
      <c r="L125" s="384"/>
      <c r="M125" s="384"/>
      <c r="N125" s="384"/>
      <c r="O125" s="384"/>
      <c r="P125" s="230"/>
      <c r="Q125" s="230"/>
      <c r="R125" s="230"/>
      <c r="S125" s="230"/>
      <c r="T125" s="231"/>
      <c r="U125" s="384"/>
      <c r="V125" s="384"/>
      <c r="W125" s="384"/>
      <c r="X125" s="384"/>
      <c r="Y125" s="232"/>
      <c r="Z125" s="228" t="s">
        <v>612</v>
      </c>
      <c r="AA125" s="229"/>
      <c r="AB125" s="229"/>
      <c r="AE125" s="184"/>
      <c r="AF125" s="184"/>
    </row>
    <row r="126" spans="1:32" s="1" customFormat="1" ht="19.5" customHeight="1" x14ac:dyDescent="0.3">
      <c r="A126" s="409"/>
      <c r="B126" s="396"/>
      <c r="C126" s="376"/>
      <c r="D126" s="384" t="s">
        <v>62</v>
      </c>
      <c r="E126" s="384" t="s">
        <v>305</v>
      </c>
      <c r="F126" s="384">
        <v>2</v>
      </c>
      <c r="G126" s="384" t="s">
        <v>32</v>
      </c>
      <c r="H126" s="386">
        <v>8</v>
      </c>
      <c r="I126" s="386"/>
      <c r="J126" s="384">
        <v>38</v>
      </c>
      <c r="K126" s="384"/>
      <c r="L126" s="384"/>
      <c r="M126" s="384"/>
      <c r="N126" s="384"/>
      <c r="O126" s="384">
        <v>7</v>
      </c>
      <c r="P126" s="384"/>
      <c r="Q126" s="230"/>
      <c r="R126" s="230"/>
      <c r="S126" s="230"/>
      <c r="T126" s="231"/>
      <c r="U126" s="384"/>
      <c r="V126" s="384"/>
      <c r="W126" s="384"/>
      <c r="X126" s="384"/>
      <c r="Y126" s="232">
        <v>2</v>
      </c>
      <c r="Z126" s="228" t="s">
        <v>611</v>
      </c>
      <c r="AA126" s="229"/>
      <c r="AB126" s="229"/>
      <c r="AE126" s="184"/>
      <c r="AF126" s="184"/>
    </row>
    <row r="127" spans="1:32" s="1" customFormat="1" ht="19.5" customHeight="1" x14ac:dyDescent="0.3">
      <c r="A127" s="409"/>
      <c r="B127" s="396"/>
      <c r="C127" s="376"/>
      <c r="D127" s="386" t="s">
        <v>81</v>
      </c>
      <c r="E127" s="386" t="s">
        <v>311</v>
      </c>
      <c r="F127" s="384">
        <v>2</v>
      </c>
      <c r="G127" s="384" t="s">
        <v>32</v>
      </c>
      <c r="H127" s="386">
        <v>21</v>
      </c>
      <c r="I127" s="386"/>
      <c r="J127" s="384"/>
      <c r="K127" s="384"/>
      <c r="L127" s="384"/>
      <c r="M127" s="384"/>
      <c r="N127" s="384"/>
      <c r="O127" s="384"/>
      <c r="P127" s="384"/>
      <c r="Q127" s="230"/>
      <c r="R127" s="230"/>
      <c r="S127" s="230"/>
      <c r="T127" s="231"/>
      <c r="U127" s="384"/>
      <c r="V127" s="384"/>
      <c r="W127" s="384"/>
      <c r="X127" s="384"/>
      <c r="Y127" s="232"/>
      <c r="Z127" s="228" t="s">
        <v>611</v>
      </c>
      <c r="AA127" s="229"/>
      <c r="AB127" s="229"/>
      <c r="AE127" s="184"/>
      <c r="AF127" s="184"/>
    </row>
    <row r="128" spans="1:32" s="1" customFormat="1" ht="19.5" customHeight="1" x14ac:dyDescent="0.3">
      <c r="A128" s="409"/>
      <c r="B128" s="396"/>
      <c r="C128" s="376"/>
      <c r="D128" s="384" t="s">
        <v>170</v>
      </c>
      <c r="E128" s="384" t="s">
        <v>306</v>
      </c>
      <c r="F128" s="384">
        <v>2</v>
      </c>
      <c r="G128" s="384" t="s">
        <v>32</v>
      </c>
      <c r="H128" s="386">
        <v>21</v>
      </c>
      <c r="I128" s="386"/>
      <c r="J128" s="384"/>
      <c r="K128" s="384"/>
      <c r="L128" s="384"/>
      <c r="M128" s="384"/>
      <c r="N128" s="384"/>
      <c r="O128" s="384"/>
      <c r="P128" s="384"/>
      <c r="Q128" s="230"/>
      <c r="R128" s="230"/>
      <c r="S128" s="230"/>
      <c r="T128" s="231"/>
      <c r="U128" s="384"/>
      <c r="V128" s="384"/>
      <c r="W128" s="384"/>
      <c r="X128" s="384"/>
      <c r="Y128" s="232"/>
      <c r="Z128" s="228" t="s">
        <v>611</v>
      </c>
      <c r="AA128" s="229"/>
      <c r="AB128" s="229"/>
      <c r="AE128" s="184"/>
      <c r="AF128" s="184"/>
    </row>
    <row r="129" spans="1:35" s="1" customFormat="1" ht="19.5" customHeight="1" x14ac:dyDescent="0.3">
      <c r="A129" s="409"/>
      <c r="B129" s="396"/>
      <c r="C129" s="376"/>
      <c r="D129" s="384" t="s">
        <v>61</v>
      </c>
      <c r="E129" s="384" t="s">
        <v>307</v>
      </c>
      <c r="F129" s="384">
        <v>2</v>
      </c>
      <c r="G129" s="384" t="s">
        <v>32</v>
      </c>
      <c r="H129" s="386">
        <v>11</v>
      </c>
      <c r="I129" s="386"/>
      <c r="J129" s="384">
        <v>38</v>
      </c>
      <c r="K129" s="384"/>
      <c r="L129" s="384"/>
      <c r="M129" s="384"/>
      <c r="N129" s="384"/>
      <c r="O129" s="384">
        <v>7</v>
      </c>
      <c r="P129" s="230"/>
      <c r="Q129" s="230"/>
      <c r="R129" s="230"/>
      <c r="S129" s="230"/>
      <c r="T129" s="231"/>
      <c r="U129" s="384"/>
      <c r="V129" s="384"/>
      <c r="W129" s="384"/>
      <c r="X129" s="384"/>
      <c r="Y129" s="232">
        <v>1.5</v>
      </c>
      <c r="Z129" s="228" t="s">
        <v>612</v>
      </c>
      <c r="AA129" s="229"/>
      <c r="AB129" s="229"/>
      <c r="AE129" s="184"/>
      <c r="AF129" s="184"/>
    </row>
    <row r="130" spans="1:35" s="1" customFormat="1" ht="19.5" customHeight="1" x14ac:dyDescent="0.3">
      <c r="A130" s="409"/>
      <c r="B130" s="396"/>
      <c r="C130" s="376"/>
      <c r="D130" s="225" t="s">
        <v>44</v>
      </c>
      <c r="E130" s="386" t="s">
        <v>308</v>
      </c>
      <c r="F130" s="384">
        <v>2</v>
      </c>
      <c r="G130" s="384" t="s">
        <v>32</v>
      </c>
      <c r="H130" s="386">
        <v>7</v>
      </c>
      <c r="I130" s="386"/>
      <c r="J130" s="384"/>
      <c r="K130" s="384"/>
      <c r="L130" s="384"/>
      <c r="M130" s="384"/>
      <c r="N130" s="384"/>
      <c r="O130" s="384"/>
      <c r="P130" s="384"/>
      <c r="Q130" s="230"/>
      <c r="R130" s="230"/>
      <c r="S130" s="230"/>
      <c r="T130" s="231"/>
      <c r="U130" s="384"/>
      <c r="V130" s="384"/>
      <c r="W130" s="384"/>
      <c r="X130" s="384"/>
      <c r="Y130" s="232"/>
      <c r="Z130" s="228" t="s">
        <v>612</v>
      </c>
      <c r="AA130" s="229"/>
      <c r="AB130" s="229"/>
      <c r="AE130" s="184"/>
      <c r="AF130" s="184"/>
    </row>
    <row r="131" spans="1:35" s="1" customFormat="1" ht="19.5" customHeight="1" x14ac:dyDescent="0.3">
      <c r="A131" s="409"/>
      <c r="B131" s="396"/>
      <c r="C131" s="376"/>
      <c r="D131" s="386" t="s">
        <v>210</v>
      </c>
      <c r="E131" s="386" t="s">
        <v>323</v>
      </c>
      <c r="F131" s="384">
        <v>2</v>
      </c>
      <c r="G131" s="384" t="s">
        <v>32</v>
      </c>
      <c r="H131" s="386">
        <v>4</v>
      </c>
      <c r="I131" s="386"/>
      <c r="J131" s="384"/>
      <c r="K131" s="384"/>
      <c r="L131" s="384"/>
      <c r="M131" s="384"/>
      <c r="N131" s="384"/>
      <c r="O131" s="384"/>
      <c r="P131" s="384"/>
      <c r="Q131" s="230"/>
      <c r="R131" s="230"/>
      <c r="S131" s="230"/>
      <c r="T131" s="231"/>
      <c r="U131" s="384"/>
      <c r="V131" s="384"/>
      <c r="W131" s="384"/>
      <c r="X131" s="384"/>
      <c r="Y131" s="232"/>
      <c r="Z131" s="228" t="s">
        <v>612</v>
      </c>
      <c r="AA131" s="229"/>
      <c r="AB131" s="229"/>
      <c r="AE131" s="184"/>
      <c r="AF131" s="184"/>
    </row>
    <row r="132" spans="1:35" s="1" customFormat="1" ht="19.5" customHeight="1" x14ac:dyDescent="0.3">
      <c r="A132" s="409"/>
      <c r="B132" s="396"/>
      <c r="C132" s="376"/>
      <c r="D132" s="225" t="s">
        <v>43</v>
      </c>
      <c r="E132" s="386" t="s">
        <v>309</v>
      </c>
      <c r="F132" s="384">
        <v>2</v>
      </c>
      <c r="G132" s="384" t="s">
        <v>32</v>
      </c>
      <c r="H132" s="386">
        <v>7</v>
      </c>
      <c r="I132" s="386"/>
      <c r="J132" s="384"/>
      <c r="K132" s="384"/>
      <c r="L132" s="384"/>
      <c r="M132" s="384"/>
      <c r="N132" s="384"/>
      <c r="O132" s="384"/>
      <c r="P132" s="384"/>
      <c r="Q132" s="230"/>
      <c r="R132" s="230"/>
      <c r="S132" s="230"/>
      <c r="T132" s="231"/>
      <c r="U132" s="384"/>
      <c r="V132" s="384"/>
      <c r="W132" s="384"/>
      <c r="X132" s="384"/>
      <c r="Y132" s="232"/>
      <c r="Z132" s="228" t="s">
        <v>612</v>
      </c>
      <c r="AA132" s="229"/>
      <c r="AB132" s="229"/>
      <c r="AE132" s="184"/>
      <c r="AF132" s="184"/>
    </row>
    <row r="133" spans="1:35" s="1" customFormat="1" ht="19.5" customHeight="1" x14ac:dyDescent="0.3">
      <c r="A133" s="409"/>
      <c r="B133" s="396"/>
      <c r="C133" s="376"/>
      <c r="D133" s="225" t="s">
        <v>41</v>
      </c>
      <c r="E133" s="384" t="s">
        <v>317</v>
      </c>
      <c r="F133" s="384">
        <v>2</v>
      </c>
      <c r="G133" s="384" t="s">
        <v>32</v>
      </c>
      <c r="H133" s="386">
        <v>6</v>
      </c>
      <c r="I133" s="386"/>
      <c r="J133" s="384"/>
      <c r="K133" s="384"/>
      <c r="L133" s="384"/>
      <c r="M133" s="384"/>
      <c r="N133" s="384"/>
      <c r="O133" s="384"/>
      <c r="P133" s="384"/>
      <c r="Q133" s="230"/>
      <c r="R133" s="230"/>
      <c r="S133" s="230"/>
      <c r="T133" s="231"/>
      <c r="U133" s="384"/>
      <c r="V133" s="384"/>
      <c r="W133" s="384"/>
      <c r="X133" s="384"/>
      <c r="Y133" s="232"/>
      <c r="Z133" s="228" t="s">
        <v>612</v>
      </c>
      <c r="AA133" s="229"/>
      <c r="AB133" s="229"/>
      <c r="AE133" s="184"/>
      <c r="AF133" s="184"/>
    </row>
    <row r="134" spans="1:35" s="1" customFormat="1" ht="19.5" customHeight="1" x14ac:dyDescent="0.3">
      <c r="A134" s="409"/>
      <c r="B134" s="396"/>
      <c r="C134" s="376"/>
      <c r="D134" s="384" t="s">
        <v>51</v>
      </c>
      <c r="E134" s="384" t="s">
        <v>314</v>
      </c>
      <c r="F134" s="384">
        <v>2</v>
      </c>
      <c r="G134" s="384" t="s">
        <v>32</v>
      </c>
      <c r="H134" s="386">
        <v>9</v>
      </c>
      <c r="I134" s="386"/>
      <c r="J134" s="384"/>
      <c r="K134" s="384"/>
      <c r="L134" s="384"/>
      <c r="M134" s="384"/>
      <c r="N134" s="384"/>
      <c r="O134" s="384"/>
      <c r="P134" s="384"/>
      <c r="Q134" s="230"/>
      <c r="R134" s="230"/>
      <c r="S134" s="230"/>
      <c r="T134" s="231"/>
      <c r="U134" s="384"/>
      <c r="V134" s="384"/>
      <c r="W134" s="384"/>
      <c r="X134" s="384"/>
      <c r="Y134" s="232"/>
      <c r="Z134" s="228" t="s">
        <v>612</v>
      </c>
      <c r="AA134" s="229"/>
      <c r="AB134" s="229"/>
      <c r="AE134" s="184"/>
      <c r="AF134" s="184"/>
    </row>
    <row r="135" spans="1:35" s="1" customFormat="1" ht="19.5" customHeight="1" x14ac:dyDescent="0.3">
      <c r="A135" s="409"/>
      <c r="B135" s="396"/>
      <c r="C135" s="376"/>
      <c r="D135" s="386" t="s">
        <v>60</v>
      </c>
      <c r="E135" s="386" t="s">
        <v>310</v>
      </c>
      <c r="F135" s="384">
        <v>2</v>
      </c>
      <c r="G135" s="384" t="s">
        <v>32</v>
      </c>
      <c r="H135" s="386">
        <v>16</v>
      </c>
      <c r="I135" s="386"/>
      <c r="J135" s="384">
        <v>38</v>
      </c>
      <c r="K135" s="384"/>
      <c r="L135" s="384"/>
      <c r="M135" s="384"/>
      <c r="N135" s="384"/>
      <c r="O135" s="384">
        <v>7</v>
      </c>
      <c r="P135" s="230"/>
      <c r="Q135" s="230"/>
      <c r="R135" s="230"/>
      <c r="S135" s="230"/>
      <c r="T135" s="231"/>
      <c r="U135" s="384"/>
      <c r="V135" s="384"/>
      <c r="W135" s="384"/>
      <c r="X135" s="384"/>
      <c r="Y135" s="232">
        <v>1.5</v>
      </c>
      <c r="Z135" s="228" t="s">
        <v>612</v>
      </c>
      <c r="AA135" s="229"/>
      <c r="AB135" s="229"/>
      <c r="AE135" s="184"/>
      <c r="AF135" s="184"/>
    </row>
    <row r="136" spans="1:35" s="1" customFormat="1" ht="19.5" customHeight="1" x14ac:dyDescent="0.3">
      <c r="A136" s="409"/>
      <c r="B136" s="396"/>
      <c r="C136" s="376"/>
      <c r="D136" s="225" t="s">
        <v>114</v>
      </c>
      <c r="E136" s="384" t="s">
        <v>312</v>
      </c>
      <c r="F136" s="384">
        <v>2</v>
      </c>
      <c r="G136" s="384" t="s">
        <v>32</v>
      </c>
      <c r="H136" s="386">
        <v>14</v>
      </c>
      <c r="I136" s="386"/>
      <c r="J136" s="384"/>
      <c r="K136" s="384"/>
      <c r="L136" s="384"/>
      <c r="M136" s="384"/>
      <c r="N136" s="384"/>
      <c r="O136" s="384"/>
      <c r="P136" s="384"/>
      <c r="Q136" s="230"/>
      <c r="R136" s="233"/>
      <c r="S136" s="230"/>
      <c r="T136" s="231"/>
      <c r="U136" s="384"/>
      <c r="V136" s="384"/>
      <c r="W136" s="384"/>
      <c r="X136" s="384"/>
      <c r="Y136" s="232"/>
      <c r="Z136" s="228" t="s">
        <v>612</v>
      </c>
      <c r="AA136" s="229"/>
      <c r="AB136" s="229"/>
      <c r="AE136" s="184"/>
      <c r="AF136" s="184"/>
    </row>
    <row r="137" spans="1:35" s="1" customFormat="1" ht="19.5" customHeight="1" x14ac:dyDescent="0.3">
      <c r="A137" s="409"/>
      <c r="B137" s="396"/>
      <c r="C137" s="376"/>
      <c r="D137" s="225" t="s">
        <v>46</v>
      </c>
      <c r="E137" s="386" t="s">
        <v>313</v>
      </c>
      <c r="F137" s="384">
        <v>2</v>
      </c>
      <c r="G137" s="384" t="s">
        <v>32</v>
      </c>
      <c r="H137" s="386">
        <v>12</v>
      </c>
      <c r="I137" s="386"/>
      <c r="J137" s="231"/>
      <c r="K137" s="231"/>
      <c r="L137" s="231"/>
      <c r="M137" s="231"/>
      <c r="N137" s="231"/>
      <c r="O137" s="231"/>
      <c r="P137" s="231"/>
      <c r="Q137" s="231"/>
      <c r="R137" s="231"/>
      <c r="S137" s="231"/>
      <c r="T137" s="231"/>
      <c r="U137" s="231"/>
      <c r="V137" s="231"/>
      <c r="W137" s="231"/>
      <c r="X137" s="231"/>
      <c r="Y137" s="231"/>
      <c r="Z137" s="228" t="s">
        <v>612</v>
      </c>
      <c r="AA137" s="229"/>
      <c r="AB137" s="229"/>
      <c r="AE137" s="184"/>
      <c r="AF137" s="184"/>
    </row>
    <row r="138" spans="1:35" s="1" customFormat="1" ht="19.5" customHeight="1" x14ac:dyDescent="0.3">
      <c r="A138" s="409"/>
      <c r="B138" s="396"/>
      <c r="C138" s="376"/>
      <c r="D138" s="225" t="s">
        <v>52</v>
      </c>
      <c r="E138" s="386" t="s">
        <v>315</v>
      </c>
      <c r="F138" s="384">
        <v>2</v>
      </c>
      <c r="G138" s="384" t="s">
        <v>32</v>
      </c>
      <c r="H138" s="386">
        <v>30</v>
      </c>
      <c r="I138" s="386">
        <v>15</v>
      </c>
      <c r="J138" s="231"/>
      <c r="K138" s="231"/>
      <c r="L138" s="231"/>
      <c r="M138" s="231"/>
      <c r="N138" s="231"/>
      <c r="O138" s="231"/>
      <c r="P138" s="231"/>
      <c r="Q138" s="231"/>
      <c r="R138" s="231"/>
      <c r="S138" s="231"/>
      <c r="T138" s="231"/>
      <c r="U138" s="231"/>
      <c r="V138" s="231"/>
      <c r="W138" s="231"/>
      <c r="X138" s="231"/>
      <c r="Y138" s="231"/>
      <c r="Z138" s="228" t="s">
        <v>612</v>
      </c>
      <c r="AA138" s="229"/>
      <c r="AB138" s="229"/>
      <c r="AE138" s="184"/>
      <c r="AF138" s="184"/>
    </row>
    <row r="139" spans="1:35" s="1" customFormat="1" ht="19.5" customHeight="1" x14ac:dyDescent="0.3">
      <c r="A139" s="409"/>
      <c r="B139" s="396"/>
      <c r="C139" s="376"/>
      <c r="D139" s="225" t="s">
        <v>52</v>
      </c>
      <c r="E139" s="386" t="s">
        <v>316</v>
      </c>
      <c r="F139" s="384">
        <v>2</v>
      </c>
      <c r="G139" s="384" t="s">
        <v>32</v>
      </c>
      <c r="H139" s="386">
        <v>30</v>
      </c>
      <c r="I139" s="386"/>
      <c r="J139" s="231"/>
      <c r="K139" s="231"/>
      <c r="L139" s="231"/>
      <c r="M139" s="231"/>
      <c r="N139" s="231"/>
      <c r="O139" s="231"/>
      <c r="P139" s="231"/>
      <c r="Q139" s="231"/>
      <c r="R139" s="231"/>
      <c r="S139" s="231"/>
      <c r="T139" s="231"/>
      <c r="U139" s="231"/>
      <c r="V139" s="231"/>
      <c r="W139" s="231"/>
      <c r="X139" s="231"/>
      <c r="Y139" s="231"/>
      <c r="Z139" s="228" t="s">
        <v>612</v>
      </c>
      <c r="AA139" s="229"/>
      <c r="AB139" s="229"/>
      <c r="AE139" s="184"/>
      <c r="AF139" s="184"/>
    </row>
    <row r="140" spans="1:35" s="1" customFormat="1" ht="19.5" customHeight="1" x14ac:dyDescent="0.3">
      <c r="A140" s="409"/>
      <c r="B140" s="396"/>
      <c r="C140" s="376"/>
      <c r="D140" s="225" t="s">
        <v>52</v>
      </c>
      <c r="E140" s="386" t="s">
        <v>315</v>
      </c>
      <c r="F140" s="384">
        <v>2</v>
      </c>
      <c r="G140" s="384" t="s">
        <v>32</v>
      </c>
      <c r="H140" s="386">
        <v>30</v>
      </c>
      <c r="I140" s="386"/>
      <c r="J140" s="384">
        <v>38</v>
      </c>
      <c r="K140" s="384"/>
      <c r="L140" s="384"/>
      <c r="M140" s="384"/>
      <c r="N140" s="384"/>
      <c r="O140" s="384">
        <v>7</v>
      </c>
      <c r="P140" s="384"/>
      <c r="Q140" s="230"/>
      <c r="R140" s="230"/>
      <c r="S140" s="230"/>
      <c r="T140" s="231"/>
      <c r="U140" s="384"/>
      <c r="V140" s="384"/>
      <c r="W140" s="384"/>
      <c r="X140" s="384"/>
      <c r="Y140" s="232">
        <v>2</v>
      </c>
      <c r="Z140" s="228" t="s">
        <v>613</v>
      </c>
      <c r="AA140" s="229"/>
      <c r="AB140" s="229"/>
      <c r="AE140" s="215"/>
      <c r="AF140" s="215" t="s">
        <v>543</v>
      </c>
      <c r="AG140" s="95"/>
      <c r="AH140" s="95" t="s">
        <v>533</v>
      </c>
      <c r="AI140" s="95"/>
    </row>
    <row r="141" spans="1:35" s="1" customFormat="1" ht="19.5" customHeight="1" x14ac:dyDescent="0.3">
      <c r="A141" s="409"/>
      <c r="B141" s="396"/>
      <c r="C141" s="376"/>
      <c r="D141" s="225" t="s">
        <v>52</v>
      </c>
      <c r="E141" s="386" t="s">
        <v>316</v>
      </c>
      <c r="F141" s="384">
        <v>2</v>
      </c>
      <c r="G141" s="384" t="s">
        <v>32</v>
      </c>
      <c r="H141" s="386">
        <v>30</v>
      </c>
      <c r="I141" s="386"/>
      <c r="J141" s="384">
        <v>38</v>
      </c>
      <c r="K141" s="384"/>
      <c r="L141" s="384"/>
      <c r="M141" s="384"/>
      <c r="N141" s="384"/>
      <c r="O141" s="384">
        <v>7</v>
      </c>
      <c r="P141" s="230"/>
      <c r="Q141" s="230"/>
      <c r="R141" s="230"/>
      <c r="S141" s="230"/>
      <c r="T141" s="231"/>
      <c r="U141" s="384"/>
      <c r="V141" s="384"/>
      <c r="W141" s="384"/>
      <c r="X141" s="384"/>
      <c r="Y141" s="232">
        <v>1.5</v>
      </c>
      <c r="Z141" s="228" t="s">
        <v>613</v>
      </c>
      <c r="AA141" s="229"/>
      <c r="AB141" s="229">
        <v>22</v>
      </c>
      <c r="AE141" s="215" t="s">
        <v>544</v>
      </c>
      <c r="AF141" s="216">
        <v>8</v>
      </c>
      <c r="AG141" s="95"/>
      <c r="AH141" s="95">
        <v>7</v>
      </c>
      <c r="AI141" s="95"/>
    </row>
    <row r="142" spans="1:35" s="1" customFormat="1" ht="19.5" customHeight="1" x14ac:dyDescent="0.3">
      <c r="A142" s="409"/>
      <c r="B142" s="396"/>
      <c r="C142" s="376"/>
      <c r="D142" s="384" t="s">
        <v>51</v>
      </c>
      <c r="E142" s="384" t="s">
        <v>101</v>
      </c>
      <c r="F142" s="384">
        <v>2</v>
      </c>
      <c r="G142" s="386" t="s">
        <v>32</v>
      </c>
      <c r="H142" s="384">
        <v>10</v>
      </c>
      <c r="I142" s="386">
        <v>15</v>
      </c>
      <c r="J142" s="384"/>
      <c r="K142" s="384"/>
      <c r="L142" s="384"/>
      <c r="M142" s="384"/>
      <c r="N142" s="384"/>
      <c r="O142" s="384"/>
      <c r="P142" s="230"/>
      <c r="Q142" s="230"/>
      <c r="R142" s="230"/>
      <c r="S142" s="230"/>
      <c r="T142" s="231"/>
      <c r="U142" s="384"/>
      <c r="V142" s="384"/>
      <c r="W142" s="384"/>
      <c r="X142" s="384"/>
      <c r="Y142" s="232"/>
      <c r="Z142" s="228" t="s">
        <v>612</v>
      </c>
      <c r="AA142" s="229"/>
      <c r="AB142" s="229"/>
      <c r="AE142" s="215"/>
      <c r="AF142" s="216"/>
      <c r="AG142" s="95"/>
      <c r="AH142" s="95"/>
      <c r="AI142" s="95"/>
    </row>
    <row r="143" spans="1:35" s="1" customFormat="1" ht="19.5" customHeight="1" x14ac:dyDescent="0.3">
      <c r="A143" s="409"/>
      <c r="B143" s="396"/>
      <c r="C143" s="376"/>
      <c r="D143" s="225" t="s">
        <v>41</v>
      </c>
      <c r="E143" s="384" t="s">
        <v>168</v>
      </c>
      <c r="F143" s="384">
        <v>2</v>
      </c>
      <c r="G143" s="384" t="s">
        <v>32</v>
      </c>
      <c r="H143" s="384">
        <v>10</v>
      </c>
      <c r="I143" s="234"/>
      <c r="J143" s="384"/>
      <c r="K143" s="384"/>
      <c r="L143" s="384"/>
      <c r="M143" s="384"/>
      <c r="N143" s="384"/>
      <c r="O143" s="384"/>
      <c r="P143" s="230"/>
      <c r="Q143" s="230"/>
      <c r="R143" s="230"/>
      <c r="S143" s="230"/>
      <c r="T143" s="231"/>
      <c r="U143" s="384"/>
      <c r="V143" s="384"/>
      <c r="W143" s="384"/>
      <c r="X143" s="384"/>
      <c r="Y143" s="232"/>
      <c r="Z143" s="228" t="s">
        <v>612</v>
      </c>
      <c r="AA143" s="229"/>
      <c r="AB143" s="229"/>
      <c r="AE143" s="215"/>
      <c r="AF143" s="216"/>
      <c r="AG143" s="95"/>
      <c r="AH143" s="95"/>
      <c r="AI143" s="95"/>
    </row>
    <row r="144" spans="1:35" s="1" customFormat="1" ht="19.5" customHeight="1" x14ac:dyDescent="0.3">
      <c r="A144" s="409"/>
      <c r="B144" s="396"/>
      <c r="C144" s="376"/>
      <c r="D144" s="225" t="s">
        <v>44</v>
      </c>
      <c r="E144" s="386" t="s">
        <v>169</v>
      </c>
      <c r="F144" s="384">
        <v>2</v>
      </c>
      <c r="G144" s="384" t="s">
        <v>32</v>
      </c>
      <c r="H144" s="384">
        <v>9</v>
      </c>
      <c r="I144" s="234"/>
      <c r="J144" s="384"/>
      <c r="K144" s="384"/>
      <c r="L144" s="384"/>
      <c r="M144" s="384"/>
      <c r="N144" s="384"/>
      <c r="O144" s="384"/>
      <c r="P144" s="230"/>
      <c r="Q144" s="230"/>
      <c r="R144" s="230"/>
      <c r="S144" s="230"/>
      <c r="T144" s="231"/>
      <c r="U144" s="384"/>
      <c r="V144" s="384"/>
      <c r="W144" s="384"/>
      <c r="X144" s="384"/>
      <c r="Y144" s="232"/>
      <c r="Z144" s="228" t="s">
        <v>612</v>
      </c>
      <c r="AA144" s="229"/>
      <c r="AB144" s="229"/>
      <c r="AE144" s="215"/>
      <c r="AF144" s="216"/>
      <c r="AG144" s="95"/>
      <c r="AH144" s="95"/>
      <c r="AI144" s="95"/>
    </row>
    <row r="145" spans="1:35" s="1" customFormat="1" ht="19.5" customHeight="1" x14ac:dyDescent="0.3">
      <c r="A145" s="409"/>
      <c r="B145" s="396"/>
      <c r="C145" s="376"/>
      <c r="D145" s="384" t="s">
        <v>43</v>
      </c>
      <c r="E145" s="384" t="s">
        <v>89</v>
      </c>
      <c r="F145" s="384">
        <v>2</v>
      </c>
      <c r="G145" s="384" t="s">
        <v>32</v>
      </c>
      <c r="H145" s="384">
        <v>9</v>
      </c>
      <c r="I145" s="386"/>
      <c r="J145" s="384"/>
      <c r="K145" s="384"/>
      <c r="L145" s="384"/>
      <c r="M145" s="384"/>
      <c r="N145" s="384"/>
      <c r="O145" s="384"/>
      <c r="P145" s="230"/>
      <c r="Q145" s="230"/>
      <c r="R145" s="230"/>
      <c r="S145" s="230"/>
      <c r="T145" s="231"/>
      <c r="U145" s="384"/>
      <c r="V145" s="384"/>
      <c r="W145" s="384"/>
      <c r="X145" s="384"/>
      <c r="Y145" s="232"/>
      <c r="Z145" s="228" t="s">
        <v>612</v>
      </c>
      <c r="AA145" s="229"/>
      <c r="AB145" s="229"/>
      <c r="AE145" s="215"/>
      <c r="AF145" s="216"/>
      <c r="AG145" s="95"/>
      <c r="AH145" s="95"/>
      <c r="AI145" s="95"/>
    </row>
    <row r="146" spans="1:35" s="1" customFormat="1" ht="19.5" customHeight="1" x14ac:dyDescent="0.3">
      <c r="A146" s="409"/>
      <c r="B146" s="396"/>
      <c r="C146" s="376"/>
      <c r="D146" s="384" t="s">
        <v>49</v>
      </c>
      <c r="E146" s="384" t="s">
        <v>92</v>
      </c>
      <c r="F146" s="384">
        <v>2</v>
      </c>
      <c r="G146" s="384" t="s">
        <v>32</v>
      </c>
      <c r="H146" s="384">
        <v>5</v>
      </c>
      <c r="I146" s="386"/>
      <c r="J146" s="384"/>
      <c r="K146" s="384"/>
      <c r="L146" s="384"/>
      <c r="M146" s="384"/>
      <c r="N146" s="384"/>
      <c r="O146" s="384"/>
      <c r="P146" s="230"/>
      <c r="Q146" s="230"/>
      <c r="R146" s="230"/>
      <c r="S146" s="230"/>
      <c r="T146" s="231"/>
      <c r="U146" s="384"/>
      <c r="V146" s="384"/>
      <c r="W146" s="384"/>
      <c r="X146" s="384"/>
      <c r="Y146" s="232"/>
      <c r="Z146" s="228" t="s">
        <v>612</v>
      </c>
      <c r="AA146" s="229"/>
      <c r="AB146" s="229"/>
      <c r="AE146" s="215"/>
      <c r="AF146" s="216"/>
      <c r="AG146" s="95"/>
      <c r="AH146" s="95"/>
      <c r="AI146" s="95"/>
    </row>
    <row r="147" spans="1:35" s="1" customFormat="1" ht="19.5" customHeight="1" x14ac:dyDescent="0.3">
      <c r="A147" s="409"/>
      <c r="B147" s="396"/>
      <c r="C147" s="376"/>
      <c r="D147" s="225" t="s">
        <v>52</v>
      </c>
      <c r="E147" s="386" t="s">
        <v>102</v>
      </c>
      <c r="F147" s="384">
        <v>2</v>
      </c>
      <c r="G147" s="386" t="s">
        <v>32</v>
      </c>
      <c r="H147" s="386">
        <v>30</v>
      </c>
      <c r="I147" s="234"/>
      <c r="J147" s="384"/>
      <c r="K147" s="384"/>
      <c r="L147" s="384"/>
      <c r="M147" s="384"/>
      <c r="N147" s="384"/>
      <c r="O147" s="384"/>
      <c r="P147" s="230"/>
      <c r="Q147" s="230"/>
      <c r="R147" s="230"/>
      <c r="S147" s="230"/>
      <c r="T147" s="231"/>
      <c r="U147" s="384"/>
      <c r="V147" s="384"/>
      <c r="W147" s="384"/>
      <c r="X147" s="384"/>
      <c r="Y147" s="232"/>
      <c r="Z147" s="228" t="s">
        <v>612</v>
      </c>
      <c r="AA147" s="229"/>
      <c r="AB147" s="229"/>
      <c r="AE147" s="215"/>
      <c r="AF147" s="216"/>
      <c r="AG147" s="95"/>
      <c r="AH147" s="95"/>
      <c r="AI147" s="95"/>
    </row>
    <row r="148" spans="1:35" s="1" customFormat="1" ht="19.5" customHeight="1" x14ac:dyDescent="0.3">
      <c r="A148" s="409"/>
      <c r="B148" s="396"/>
      <c r="C148" s="376"/>
      <c r="D148" s="384" t="s">
        <v>45</v>
      </c>
      <c r="E148" s="384" t="s">
        <v>112</v>
      </c>
      <c r="F148" s="384">
        <v>2</v>
      </c>
      <c r="G148" s="384" t="s">
        <v>32</v>
      </c>
      <c r="H148" s="384">
        <v>12</v>
      </c>
      <c r="I148" s="386"/>
      <c r="J148" s="384"/>
      <c r="K148" s="384"/>
      <c r="L148" s="384"/>
      <c r="M148" s="384"/>
      <c r="N148" s="384"/>
      <c r="O148" s="384"/>
      <c r="P148" s="230"/>
      <c r="Q148" s="230"/>
      <c r="R148" s="230"/>
      <c r="S148" s="230"/>
      <c r="T148" s="231"/>
      <c r="U148" s="384"/>
      <c r="V148" s="384"/>
      <c r="W148" s="384"/>
      <c r="X148" s="384"/>
      <c r="Y148" s="232"/>
      <c r="Z148" s="228" t="s">
        <v>612</v>
      </c>
      <c r="AA148" s="229"/>
      <c r="AB148" s="229"/>
      <c r="AE148" s="215"/>
      <c r="AF148" s="216"/>
      <c r="AG148" s="95"/>
      <c r="AH148" s="95"/>
      <c r="AI148" s="95"/>
    </row>
    <row r="149" spans="1:35" s="1" customFormat="1" ht="19.5" customHeight="1" x14ac:dyDescent="0.3">
      <c r="A149" s="409"/>
      <c r="B149" s="396"/>
      <c r="C149" s="376"/>
      <c r="D149" s="386" t="s">
        <v>81</v>
      </c>
      <c r="E149" s="386" t="s">
        <v>283</v>
      </c>
      <c r="F149" s="384">
        <v>2</v>
      </c>
      <c r="G149" s="386" t="s">
        <v>32</v>
      </c>
      <c r="H149" s="384">
        <v>22</v>
      </c>
      <c r="I149" s="386"/>
      <c r="J149" s="384"/>
      <c r="K149" s="384"/>
      <c r="L149" s="384"/>
      <c r="M149" s="384"/>
      <c r="N149" s="384"/>
      <c r="O149" s="384"/>
      <c r="P149" s="230"/>
      <c r="Q149" s="230"/>
      <c r="R149" s="230"/>
      <c r="S149" s="230"/>
      <c r="T149" s="231"/>
      <c r="U149" s="384"/>
      <c r="V149" s="384"/>
      <c r="W149" s="384"/>
      <c r="X149" s="384"/>
      <c r="Y149" s="232"/>
      <c r="Z149" s="228" t="s">
        <v>612</v>
      </c>
      <c r="AA149" s="229"/>
      <c r="AB149" s="229"/>
      <c r="AE149" s="215"/>
      <c r="AF149" s="216"/>
      <c r="AG149" s="95"/>
      <c r="AH149" s="95"/>
      <c r="AI149" s="95"/>
    </row>
    <row r="150" spans="1:35" s="1" customFormat="1" ht="19.5" customHeight="1" x14ac:dyDescent="0.3">
      <c r="A150" s="409"/>
      <c r="B150" s="396"/>
      <c r="C150" s="376"/>
      <c r="D150" s="384" t="s">
        <v>60</v>
      </c>
      <c r="E150" s="384" t="s">
        <v>99</v>
      </c>
      <c r="F150" s="384">
        <v>2</v>
      </c>
      <c r="G150" s="386" t="s">
        <v>32</v>
      </c>
      <c r="H150" s="386">
        <v>14</v>
      </c>
      <c r="I150" s="386"/>
      <c r="J150" s="384"/>
      <c r="K150" s="384"/>
      <c r="L150" s="384"/>
      <c r="M150" s="384"/>
      <c r="N150" s="384"/>
      <c r="O150" s="384"/>
      <c r="P150" s="230"/>
      <c r="Q150" s="230"/>
      <c r="R150" s="230"/>
      <c r="S150" s="230"/>
      <c r="T150" s="231"/>
      <c r="U150" s="384"/>
      <c r="V150" s="384"/>
      <c r="W150" s="384"/>
      <c r="X150" s="384"/>
      <c r="Y150" s="232"/>
      <c r="Z150" s="228" t="s">
        <v>612</v>
      </c>
      <c r="AA150" s="229"/>
      <c r="AB150" s="229"/>
      <c r="AE150" s="215"/>
      <c r="AF150" s="216"/>
      <c r="AG150" s="95"/>
      <c r="AH150" s="95"/>
      <c r="AI150" s="95"/>
    </row>
    <row r="151" spans="1:35" s="1" customFormat="1" ht="19.5" customHeight="1" x14ac:dyDescent="0.3">
      <c r="A151" s="409"/>
      <c r="B151" s="396"/>
      <c r="C151" s="376"/>
      <c r="D151" s="225" t="s">
        <v>114</v>
      </c>
      <c r="E151" s="384" t="s">
        <v>150</v>
      </c>
      <c r="F151" s="384">
        <v>2</v>
      </c>
      <c r="G151" s="386" t="s">
        <v>32</v>
      </c>
      <c r="H151" s="384">
        <v>9</v>
      </c>
      <c r="I151" s="386"/>
      <c r="J151" s="384"/>
      <c r="K151" s="384"/>
      <c r="L151" s="384"/>
      <c r="M151" s="384"/>
      <c r="N151" s="384"/>
      <c r="O151" s="384"/>
      <c r="P151" s="230"/>
      <c r="Q151" s="230"/>
      <c r="R151" s="230"/>
      <c r="S151" s="230"/>
      <c r="T151" s="231"/>
      <c r="U151" s="384"/>
      <c r="V151" s="384"/>
      <c r="W151" s="384"/>
      <c r="X151" s="384"/>
      <c r="Y151" s="232"/>
      <c r="Z151" s="228" t="s">
        <v>612</v>
      </c>
      <c r="AA151" s="229"/>
      <c r="AB151" s="229"/>
      <c r="AE151" s="215"/>
      <c r="AF151" s="216"/>
      <c r="AG151" s="95"/>
      <c r="AH151" s="95"/>
      <c r="AI151" s="95"/>
    </row>
    <row r="152" spans="1:35" s="1" customFormat="1" ht="19.5" customHeight="1" x14ac:dyDescent="0.3">
      <c r="A152" s="409"/>
      <c r="B152" s="396"/>
      <c r="C152" s="376"/>
      <c r="D152" s="225" t="s">
        <v>46</v>
      </c>
      <c r="E152" s="386" t="s">
        <v>85</v>
      </c>
      <c r="F152" s="384">
        <v>2</v>
      </c>
      <c r="G152" s="386" t="s">
        <v>32</v>
      </c>
      <c r="H152" s="386">
        <v>5</v>
      </c>
      <c r="I152" s="386"/>
      <c r="J152" s="384"/>
      <c r="K152" s="384"/>
      <c r="L152" s="384"/>
      <c r="M152" s="384"/>
      <c r="N152" s="384"/>
      <c r="O152" s="384"/>
      <c r="P152" s="230"/>
      <c r="Q152" s="230"/>
      <c r="R152" s="230"/>
      <c r="S152" s="230"/>
      <c r="T152" s="231"/>
      <c r="U152" s="384"/>
      <c r="V152" s="384"/>
      <c r="W152" s="384"/>
      <c r="X152" s="384"/>
      <c r="Y152" s="232"/>
      <c r="Z152" s="228" t="s">
        <v>612</v>
      </c>
      <c r="AA152" s="229"/>
      <c r="AB152" s="229"/>
      <c r="AE152" s="215"/>
      <c r="AF152" s="216"/>
      <c r="AG152" s="95"/>
      <c r="AH152" s="95"/>
      <c r="AI152" s="95"/>
    </row>
    <row r="153" spans="1:35" s="1" customFormat="1" ht="19.5" customHeight="1" x14ac:dyDescent="0.3">
      <c r="A153" s="409"/>
      <c r="B153" s="396"/>
      <c r="C153" s="376"/>
      <c r="D153" s="384" t="s">
        <v>51</v>
      </c>
      <c r="E153" s="384" t="s">
        <v>101</v>
      </c>
      <c r="F153" s="384">
        <v>2</v>
      </c>
      <c r="G153" s="386" t="s">
        <v>32</v>
      </c>
      <c r="H153" s="384">
        <v>10</v>
      </c>
      <c r="I153" s="386"/>
      <c r="J153" s="384">
        <v>38</v>
      </c>
      <c r="K153" s="384"/>
      <c r="L153" s="384"/>
      <c r="M153" s="384"/>
      <c r="N153" s="384"/>
      <c r="O153" s="384">
        <v>7</v>
      </c>
      <c r="P153" s="384"/>
      <c r="Q153" s="230"/>
      <c r="R153" s="230"/>
      <c r="S153" s="230"/>
      <c r="T153" s="231"/>
      <c r="U153" s="384"/>
      <c r="V153" s="384"/>
      <c r="W153" s="384"/>
      <c r="X153" s="384"/>
      <c r="Y153" s="232">
        <v>2</v>
      </c>
      <c r="Z153" s="228" t="s">
        <v>612</v>
      </c>
      <c r="AA153" s="229"/>
      <c r="AB153" s="229"/>
      <c r="AE153" s="215" t="s">
        <v>545</v>
      </c>
      <c r="AF153" s="217">
        <v>16.5</v>
      </c>
      <c r="AG153" s="95"/>
      <c r="AH153" s="218">
        <v>7.5</v>
      </c>
      <c r="AI153" s="95"/>
    </row>
    <row r="154" spans="1:35" s="1" customFormat="1" ht="19.5" customHeight="1" x14ac:dyDescent="0.25">
      <c r="A154" s="409"/>
      <c r="B154" s="396"/>
      <c r="C154" s="376"/>
      <c r="D154" s="225" t="s">
        <v>41</v>
      </c>
      <c r="E154" s="384" t="s">
        <v>168</v>
      </c>
      <c r="F154" s="384">
        <v>2</v>
      </c>
      <c r="G154" s="384" t="s">
        <v>32</v>
      </c>
      <c r="H154" s="384">
        <v>10</v>
      </c>
      <c r="I154" s="234"/>
      <c r="J154" s="384"/>
      <c r="K154" s="384"/>
      <c r="L154" s="384"/>
      <c r="M154" s="384"/>
      <c r="N154" s="384"/>
      <c r="O154" s="384"/>
      <c r="P154" s="384"/>
      <c r="Q154" s="384"/>
      <c r="R154" s="384"/>
      <c r="S154" s="384"/>
      <c r="T154" s="384"/>
      <c r="U154" s="384"/>
      <c r="V154" s="384"/>
      <c r="W154" s="384"/>
      <c r="X154" s="384"/>
      <c r="Y154" s="232">
        <v>0</v>
      </c>
      <c r="Z154" s="228" t="s">
        <v>612</v>
      </c>
      <c r="AA154" s="229"/>
      <c r="AB154" s="229"/>
      <c r="AE154" s="215" t="s">
        <v>546</v>
      </c>
      <c r="AF154" s="219">
        <v>15</v>
      </c>
      <c r="AG154" s="95"/>
      <c r="AH154" s="95">
        <v>9</v>
      </c>
      <c r="AI154" s="95"/>
    </row>
    <row r="155" spans="1:35" s="1" customFormat="1" ht="19.5" customHeight="1" x14ac:dyDescent="0.25">
      <c r="A155" s="409"/>
      <c r="B155" s="396"/>
      <c r="C155" s="376"/>
      <c r="D155" s="225" t="s">
        <v>44</v>
      </c>
      <c r="E155" s="386" t="s">
        <v>169</v>
      </c>
      <c r="F155" s="384">
        <v>2</v>
      </c>
      <c r="G155" s="384" t="s">
        <v>32</v>
      </c>
      <c r="H155" s="384">
        <v>9</v>
      </c>
      <c r="I155" s="234"/>
      <c r="J155" s="384"/>
      <c r="K155" s="384"/>
      <c r="L155" s="384"/>
      <c r="M155" s="384"/>
      <c r="N155" s="384"/>
      <c r="O155" s="384"/>
      <c r="P155" s="384"/>
      <c r="Q155" s="384"/>
      <c r="R155" s="384"/>
      <c r="S155" s="384"/>
      <c r="T155" s="384"/>
      <c r="U155" s="384"/>
      <c r="V155" s="384"/>
      <c r="W155" s="384"/>
      <c r="X155" s="384"/>
      <c r="Y155" s="232">
        <v>0</v>
      </c>
      <c r="Z155" s="228" t="s">
        <v>612</v>
      </c>
      <c r="AA155" s="229"/>
      <c r="AB155" s="229"/>
      <c r="AE155" s="215"/>
      <c r="AF155" s="215"/>
      <c r="AG155" s="95"/>
      <c r="AH155" s="95"/>
      <c r="AI155" s="95"/>
    </row>
    <row r="156" spans="1:35" s="1" customFormat="1" ht="19.5" customHeight="1" x14ac:dyDescent="0.3">
      <c r="A156" s="409"/>
      <c r="B156" s="396"/>
      <c r="C156" s="376"/>
      <c r="D156" s="384" t="s">
        <v>43</v>
      </c>
      <c r="E156" s="384" t="s">
        <v>89</v>
      </c>
      <c r="F156" s="384">
        <v>2</v>
      </c>
      <c r="G156" s="384" t="s">
        <v>32</v>
      </c>
      <c r="H156" s="384">
        <v>9</v>
      </c>
      <c r="I156" s="386"/>
      <c r="J156" s="384"/>
      <c r="K156" s="384"/>
      <c r="L156" s="384"/>
      <c r="M156" s="384"/>
      <c r="N156" s="230"/>
      <c r="O156" s="230"/>
      <c r="P156" s="230"/>
      <c r="Q156" s="230"/>
      <c r="R156" s="230"/>
      <c r="S156" s="230"/>
      <c r="T156" s="231"/>
      <c r="U156" s="384"/>
      <c r="V156" s="384"/>
      <c r="W156" s="384"/>
      <c r="X156" s="384"/>
      <c r="Y156" s="232">
        <v>0</v>
      </c>
      <c r="Z156" s="228" t="s">
        <v>612</v>
      </c>
      <c r="AA156" s="229"/>
      <c r="AB156" s="229"/>
      <c r="AE156" s="184"/>
      <c r="AF156" s="184"/>
    </row>
    <row r="157" spans="1:35" s="1" customFormat="1" ht="19.5" customHeight="1" x14ac:dyDescent="0.3">
      <c r="A157" s="409"/>
      <c r="B157" s="396"/>
      <c r="C157" s="376"/>
      <c r="D157" s="384" t="s">
        <v>49</v>
      </c>
      <c r="E157" s="384" t="s">
        <v>92</v>
      </c>
      <c r="F157" s="384">
        <v>2</v>
      </c>
      <c r="G157" s="384" t="s">
        <v>32</v>
      </c>
      <c r="H157" s="384">
        <v>5</v>
      </c>
      <c r="I157" s="386"/>
      <c r="J157" s="384"/>
      <c r="K157" s="384"/>
      <c r="L157" s="384"/>
      <c r="M157" s="384"/>
      <c r="N157" s="230"/>
      <c r="O157" s="230"/>
      <c r="P157" s="230"/>
      <c r="Q157" s="230"/>
      <c r="R157" s="230"/>
      <c r="S157" s="230"/>
      <c r="T157" s="231"/>
      <c r="U157" s="384"/>
      <c r="V157" s="384"/>
      <c r="W157" s="384"/>
      <c r="X157" s="384"/>
      <c r="Y157" s="232">
        <v>0</v>
      </c>
      <c r="Z157" s="228" t="s">
        <v>612</v>
      </c>
      <c r="AA157" s="229"/>
      <c r="AB157" s="229"/>
      <c r="AE157" s="184"/>
      <c r="AF157" s="184"/>
    </row>
    <row r="158" spans="1:35" s="1" customFormat="1" ht="19.5" customHeight="1" x14ac:dyDescent="0.3">
      <c r="A158" s="409"/>
      <c r="B158" s="396"/>
      <c r="C158" s="376"/>
      <c r="D158" s="225" t="s">
        <v>52</v>
      </c>
      <c r="E158" s="386" t="s">
        <v>102</v>
      </c>
      <c r="F158" s="384">
        <v>2</v>
      </c>
      <c r="G158" s="386" t="s">
        <v>32</v>
      </c>
      <c r="H158" s="386">
        <v>30</v>
      </c>
      <c r="I158" s="234"/>
      <c r="J158" s="384">
        <v>38</v>
      </c>
      <c r="K158" s="384"/>
      <c r="L158" s="384"/>
      <c r="M158" s="384"/>
      <c r="N158" s="384"/>
      <c r="O158" s="384">
        <v>7</v>
      </c>
      <c r="P158" s="384"/>
      <c r="Q158" s="230"/>
      <c r="R158" s="230"/>
      <c r="S158" s="230"/>
      <c r="T158" s="231"/>
      <c r="U158" s="384"/>
      <c r="V158" s="384"/>
      <c r="W158" s="384"/>
      <c r="X158" s="384"/>
      <c r="Y158" s="232">
        <v>1.5</v>
      </c>
      <c r="Z158" s="228" t="s">
        <v>614</v>
      </c>
      <c r="AA158" s="229"/>
      <c r="AB158" s="229"/>
      <c r="AE158" s="184"/>
      <c r="AF158" s="184">
        <f>AF141+AF153+AF154+AH154+AH141+AH153</f>
        <v>63</v>
      </c>
    </row>
    <row r="159" spans="1:35" s="1" customFormat="1" ht="19.5" customHeight="1" x14ac:dyDescent="0.3">
      <c r="A159" s="409"/>
      <c r="B159" s="396"/>
      <c r="C159" s="376"/>
      <c r="D159" s="384" t="s">
        <v>45</v>
      </c>
      <c r="E159" s="384" t="s">
        <v>112</v>
      </c>
      <c r="F159" s="384">
        <v>2</v>
      </c>
      <c r="G159" s="384" t="s">
        <v>32</v>
      </c>
      <c r="H159" s="384">
        <v>12</v>
      </c>
      <c r="I159" s="386"/>
      <c r="J159" s="384"/>
      <c r="K159" s="384"/>
      <c r="L159" s="384"/>
      <c r="M159" s="384"/>
      <c r="N159" s="230"/>
      <c r="O159" s="230"/>
      <c r="P159" s="230"/>
      <c r="Q159" s="230"/>
      <c r="R159" s="230"/>
      <c r="S159" s="230"/>
      <c r="T159" s="231"/>
      <c r="U159" s="384"/>
      <c r="V159" s="384"/>
      <c r="W159" s="384"/>
      <c r="X159" s="384"/>
      <c r="Y159" s="232">
        <v>0</v>
      </c>
      <c r="Z159" s="228" t="s">
        <v>614</v>
      </c>
      <c r="AA159" s="229"/>
      <c r="AB159" s="229"/>
      <c r="AE159" s="184"/>
      <c r="AF159" s="184"/>
    </row>
    <row r="160" spans="1:35" s="1" customFormat="1" ht="19.5" customHeight="1" x14ac:dyDescent="0.3">
      <c r="A160" s="409"/>
      <c r="B160" s="396"/>
      <c r="C160" s="376"/>
      <c r="D160" s="386" t="s">
        <v>81</v>
      </c>
      <c r="E160" s="386" t="s">
        <v>283</v>
      </c>
      <c r="F160" s="384">
        <v>2</v>
      </c>
      <c r="G160" s="386" t="s">
        <v>32</v>
      </c>
      <c r="H160" s="384">
        <v>22</v>
      </c>
      <c r="I160" s="386"/>
      <c r="J160" s="384">
        <v>38</v>
      </c>
      <c r="K160" s="384"/>
      <c r="L160" s="384"/>
      <c r="M160" s="384"/>
      <c r="N160" s="384"/>
      <c r="O160" s="384">
        <v>7</v>
      </c>
      <c r="P160" s="384"/>
      <c r="Q160" s="230"/>
      <c r="R160" s="230"/>
      <c r="S160" s="230"/>
      <c r="T160" s="231"/>
      <c r="U160" s="384"/>
      <c r="V160" s="384"/>
      <c r="W160" s="384"/>
      <c r="X160" s="384"/>
      <c r="Y160" s="232">
        <v>1.5</v>
      </c>
      <c r="Z160" s="228" t="s">
        <v>612</v>
      </c>
      <c r="AA160" s="229"/>
      <c r="AB160" s="229"/>
      <c r="AE160" s="184"/>
      <c r="AF160" s="184"/>
    </row>
    <row r="161" spans="1:32" s="1" customFormat="1" ht="19.5" customHeight="1" x14ac:dyDescent="0.3">
      <c r="A161" s="409"/>
      <c r="B161" s="396"/>
      <c r="C161" s="376"/>
      <c r="D161" s="384" t="s">
        <v>60</v>
      </c>
      <c r="E161" s="384" t="s">
        <v>99</v>
      </c>
      <c r="F161" s="384">
        <v>2</v>
      </c>
      <c r="G161" s="386" t="s">
        <v>32</v>
      </c>
      <c r="H161" s="386">
        <v>14</v>
      </c>
      <c r="I161" s="386"/>
      <c r="J161" s="384"/>
      <c r="K161" s="384"/>
      <c r="L161" s="384"/>
      <c r="M161" s="384"/>
      <c r="N161" s="230"/>
      <c r="O161" s="230"/>
      <c r="P161" s="230"/>
      <c r="Q161" s="230"/>
      <c r="R161" s="230"/>
      <c r="S161" s="230"/>
      <c r="T161" s="231"/>
      <c r="U161" s="384"/>
      <c r="V161" s="384"/>
      <c r="W161" s="384"/>
      <c r="X161" s="384"/>
      <c r="Y161" s="232">
        <v>0</v>
      </c>
      <c r="Z161" s="228" t="s">
        <v>612</v>
      </c>
      <c r="AA161" s="229"/>
      <c r="AB161" s="229"/>
      <c r="AE161" s="184"/>
      <c r="AF161" s="184"/>
    </row>
    <row r="162" spans="1:32" s="1" customFormat="1" ht="19.5" customHeight="1" x14ac:dyDescent="0.3">
      <c r="A162" s="409"/>
      <c r="B162" s="396"/>
      <c r="C162" s="376"/>
      <c r="D162" s="225" t="s">
        <v>114</v>
      </c>
      <c r="E162" s="384" t="s">
        <v>150</v>
      </c>
      <c r="F162" s="384">
        <v>2</v>
      </c>
      <c r="G162" s="386" t="s">
        <v>32</v>
      </c>
      <c r="H162" s="384">
        <v>9</v>
      </c>
      <c r="I162" s="386"/>
      <c r="J162" s="384"/>
      <c r="K162" s="384"/>
      <c r="L162" s="384"/>
      <c r="M162" s="384"/>
      <c r="N162" s="230"/>
      <c r="O162" s="384"/>
      <c r="P162" s="230"/>
      <c r="Q162" s="230"/>
      <c r="R162" s="230"/>
      <c r="S162" s="230"/>
      <c r="T162" s="231"/>
      <c r="U162" s="384"/>
      <c r="V162" s="384"/>
      <c r="W162" s="384"/>
      <c r="X162" s="384"/>
      <c r="Y162" s="232">
        <v>0</v>
      </c>
      <c r="Z162" s="228" t="s">
        <v>612</v>
      </c>
      <c r="AA162" s="229"/>
      <c r="AB162" s="229"/>
      <c r="AE162" s="184"/>
      <c r="AF162" s="184"/>
    </row>
    <row r="163" spans="1:32" s="1" customFormat="1" ht="19.5" customHeight="1" x14ac:dyDescent="0.3">
      <c r="A163" s="409"/>
      <c r="B163" s="397"/>
      <c r="C163" s="377"/>
      <c r="D163" s="225" t="s">
        <v>46</v>
      </c>
      <c r="E163" s="386" t="s">
        <v>85</v>
      </c>
      <c r="F163" s="384">
        <v>2</v>
      </c>
      <c r="G163" s="386" t="s">
        <v>32</v>
      </c>
      <c r="H163" s="386">
        <v>5</v>
      </c>
      <c r="I163" s="386"/>
      <c r="J163" s="384"/>
      <c r="K163" s="384"/>
      <c r="L163" s="384"/>
      <c r="M163" s="384"/>
      <c r="N163" s="230"/>
      <c r="O163" s="384"/>
      <c r="P163" s="230"/>
      <c r="Q163" s="230"/>
      <c r="R163" s="230"/>
      <c r="S163" s="230"/>
      <c r="T163" s="231"/>
      <c r="U163" s="384"/>
      <c r="V163" s="384"/>
      <c r="W163" s="384"/>
      <c r="X163" s="384"/>
      <c r="Y163" s="232">
        <v>0</v>
      </c>
      <c r="Z163" s="228" t="s">
        <v>612</v>
      </c>
      <c r="AA163" s="229"/>
      <c r="AB163" s="229"/>
      <c r="AE163" s="184"/>
      <c r="AF163" s="184"/>
    </row>
    <row r="164" spans="1:32" s="1" customFormat="1" ht="19.5" customHeight="1" x14ac:dyDescent="0.3">
      <c r="A164" s="369"/>
      <c r="B164" s="402" t="s">
        <v>677</v>
      </c>
      <c r="C164" s="380"/>
      <c r="D164" s="378" t="s">
        <v>49</v>
      </c>
      <c r="E164" s="378" t="s">
        <v>291</v>
      </c>
      <c r="F164" s="378">
        <v>2</v>
      </c>
      <c r="G164" s="378" t="s">
        <v>35</v>
      </c>
      <c r="H164" s="388">
        <v>6</v>
      </c>
      <c r="I164" s="388">
        <v>16</v>
      </c>
      <c r="J164" s="378">
        <v>8</v>
      </c>
      <c r="K164" s="378"/>
      <c r="L164" s="378"/>
      <c r="M164" s="378">
        <v>4</v>
      </c>
      <c r="N164" s="378"/>
      <c r="O164" s="378">
        <v>1.5</v>
      </c>
      <c r="P164" s="378"/>
      <c r="Q164" s="378"/>
      <c r="R164" s="378"/>
      <c r="S164" s="378"/>
      <c r="T164" s="378"/>
      <c r="U164" s="378"/>
      <c r="V164" s="378"/>
      <c r="W164" s="388"/>
      <c r="X164" s="35"/>
      <c r="Y164" s="57">
        <v>0.98</v>
      </c>
      <c r="Z164" s="184" t="s">
        <v>615</v>
      </c>
      <c r="AE164" s="184"/>
      <c r="AF164" s="184"/>
    </row>
    <row r="165" spans="1:32" s="1" customFormat="1" ht="19.5" customHeight="1" x14ac:dyDescent="0.3">
      <c r="A165" s="369"/>
      <c r="B165" s="403"/>
      <c r="C165" s="381"/>
      <c r="D165" s="378" t="s">
        <v>62</v>
      </c>
      <c r="E165" s="378" t="s">
        <v>292</v>
      </c>
      <c r="F165" s="378">
        <v>2</v>
      </c>
      <c r="G165" s="388" t="s">
        <v>35</v>
      </c>
      <c r="H165" s="388">
        <v>9</v>
      </c>
      <c r="I165" s="388"/>
      <c r="J165" s="378"/>
      <c r="K165" s="378"/>
      <c r="L165" s="378"/>
      <c r="M165" s="378"/>
      <c r="N165" s="34"/>
      <c r="O165" s="378"/>
      <c r="P165" s="34"/>
      <c r="Q165" s="34"/>
      <c r="R165" s="34"/>
      <c r="S165" s="34"/>
      <c r="T165" s="35"/>
      <c r="U165" s="378"/>
      <c r="V165" s="378"/>
      <c r="W165" s="378"/>
      <c r="X165" s="378"/>
      <c r="Y165" s="36"/>
      <c r="Z165" s="184" t="s">
        <v>615</v>
      </c>
      <c r="AE165" s="184"/>
      <c r="AF165" s="184"/>
    </row>
    <row r="166" spans="1:32" s="1" customFormat="1" ht="19.5" customHeight="1" x14ac:dyDescent="0.3">
      <c r="A166" s="369"/>
      <c r="B166" s="403"/>
      <c r="C166" s="381"/>
      <c r="D166" s="388" t="s">
        <v>210</v>
      </c>
      <c r="E166" s="388" t="s">
        <v>293</v>
      </c>
      <c r="F166" s="378">
        <v>2</v>
      </c>
      <c r="G166" s="388" t="s">
        <v>35</v>
      </c>
      <c r="H166" s="388">
        <v>6</v>
      </c>
      <c r="I166" s="388"/>
      <c r="J166" s="378"/>
      <c r="K166" s="378"/>
      <c r="L166" s="378"/>
      <c r="M166" s="378"/>
      <c r="N166" s="34"/>
      <c r="O166" s="378"/>
      <c r="P166" s="34"/>
      <c r="Q166" s="34"/>
      <c r="R166" s="34"/>
      <c r="S166" s="34"/>
      <c r="T166" s="35"/>
      <c r="U166" s="378"/>
      <c r="V166" s="378"/>
      <c r="W166" s="378"/>
      <c r="X166" s="378"/>
      <c r="Y166" s="36"/>
      <c r="Z166" s="184" t="s">
        <v>615</v>
      </c>
      <c r="AE166" s="184"/>
      <c r="AF166" s="184"/>
    </row>
    <row r="167" spans="1:32" s="1" customFormat="1" ht="19.5" customHeight="1" x14ac:dyDescent="0.3">
      <c r="A167" s="369"/>
      <c r="B167" s="403"/>
      <c r="C167" s="381"/>
      <c r="D167" s="93" t="s">
        <v>41</v>
      </c>
      <c r="E167" s="378" t="s">
        <v>318</v>
      </c>
      <c r="F167" s="378">
        <v>2</v>
      </c>
      <c r="G167" s="378" t="s">
        <v>35</v>
      </c>
      <c r="H167" s="388">
        <v>1</v>
      </c>
      <c r="I167" s="388"/>
      <c r="J167" s="378"/>
      <c r="K167" s="378"/>
      <c r="L167" s="378"/>
      <c r="M167" s="378"/>
      <c r="N167" s="34"/>
      <c r="O167" s="378"/>
      <c r="P167" s="34"/>
      <c r="Q167" s="34"/>
      <c r="R167" s="34"/>
      <c r="S167" s="34"/>
      <c r="T167" s="35"/>
      <c r="U167" s="378"/>
      <c r="V167" s="378"/>
      <c r="W167" s="378"/>
      <c r="X167" s="378"/>
      <c r="Y167" s="36"/>
      <c r="Z167" s="184" t="s">
        <v>615</v>
      </c>
      <c r="AE167" s="184"/>
      <c r="AF167" s="184"/>
    </row>
    <row r="168" spans="1:32" s="1" customFormat="1" ht="19.5" customHeight="1" x14ac:dyDescent="0.3">
      <c r="A168" s="369"/>
      <c r="B168" s="403"/>
      <c r="C168" s="381"/>
      <c r="D168" s="378" t="s">
        <v>51</v>
      </c>
      <c r="E168" s="378" t="s">
        <v>299</v>
      </c>
      <c r="F168" s="378">
        <v>2</v>
      </c>
      <c r="G168" s="388" t="s">
        <v>35</v>
      </c>
      <c r="H168" s="388">
        <v>3</v>
      </c>
      <c r="I168" s="388"/>
      <c r="J168" s="378"/>
      <c r="K168" s="378"/>
      <c r="L168" s="378"/>
      <c r="M168" s="378"/>
      <c r="N168" s="34"/>
      <c r="O168" s="378"/>
      <c r="P168" s="34"/>
      <c r="Q168" s="34"/>
      <c r="R168" s="34"/>
      <c r="S168" s="34"/>
      <c r="T168" s="35"/>
      <c r="U168" s="378"/>
      <c r="V168" s="378"/>
      <c r="W168" s="378"/>
      <c r="X168" s="378"/>
      <c r="Y168" s="36"/>
      <c r="Z168" s="184" t="s">
        <v>615</v>
      </c>
      <c r="AE168" s="184"/>
      <c r="AF168" s="184"/>
    </row>
    <row r="169" spans="1:32" s="1" customFormat="1" ht="19.5" customHeight="1" x14ac:dyDescent="0.3">
      <c r="A169" s="369"/>
      <c r="B169" s="403"/>
      <c r="C169" s="381"/>
      <c r="D169" s="378" t="s">
        <v>170</v>
      </c>
      <c r="E169" s="378" t="s">
        <v>294</v>
      </c>
      <c r="F169" s="378">
        <v>2</v>
      </c>
      <c r="G169" s="378" t="s">
        <v>35</v>
      </c>
      <c r="H169" s="388">
        <v>11</v>
      </c>
      <c r="I169" s="388"/>
      <c r="J169" s="378">
        <v>8</v>
      </c>
      <c r="K169" s="378"/>
      <c r="L169" s="378"/>
      <c r="M169" s="378"/>
      <c r="N169" s="34"/>
      <c r="O169" s="34">
        <v>1.5</v>
      </c>
      <c r="P169" s="34"/>
      <c r="Q169" s="34"/>
      <c r="R169" s="34"/>
      <c r="S169" s="34"/>
      <c r="T169" s="35"/>
      <c r="U169" s="378"/>
      <c r="V169" s="378"/>
      <c r="W169" s="378"/>
      <c r="X169" s="378"/>
      <c r="Y169" s="57">
        <v>0.31</v>
      </c>
      <c r="Z169" s="184" t="s">
        <v>615</v>
      </c>
      <c r="AE169" s="184"/>
      <c r="AF169" s="184"/>
    </row>
    <row r="170" spans="1:32" s="1" customFormat="1" ht="19.5" customHeight="1" x14ac:dyDescent="0.3">
      <c r="A170" s="369"/>
      <c r="B170" s="403"/>
      <c r="C170" s="381"/>
      <c r="D170" s="378" t="s">
        <v>61</v>
      </c>
      <c r="E170" s="378" t="s">
        <v>298</v>
      </c>
      <c r="F170" s="378">
        <v>2</v>
      </c>
      <c r="G170" s="388" t="s">
        <v>35</v>
      </c>
      <c r="H170" s="388">
        <v>6</v>
      </c>
      <c r="I170" s="388"/>
      <c r="J170" s="378"/>
      <c r="K170" s="378"/>
      <c r="L170" s="378"/>
      <c r="M170" s="378"/>
      <c r="N170" s="34"/>
      <c r="O170" s="378"/>
      <c r="P170" s="34"/>
      <c r="Q170" s="34"/>
      <c r="R170" s="34"/>
      <c r="S170" s="34"/>
      <c r="T170" s="35"/>
      <c r="U170" s="378"/>
      <c r="V170" s="378"/>
      <c r="W170" s="378"/>
      <c r="X170" s="378"/>
      <c r="Y170" s="36"/>
      <c r="Z170" s="184" t="s">
        <v>615</v>
      </c>
      <c r="AE170" s="184"/>
      <c r="AF170" s="184"/>
    </row>
    <row r="171" spans="1:32" s="1" customFormat="1" ht="19.5" customHeight="1" x14ac:dyDescent="0.3">
      <c r="A171" s="369"/>
      <c r="B171" s="403"/>
      <c r="C171" s="381"/>
      <c r="D171" s="93" t="s">
        <v>44</v>
      </c>
      <c r="E171" s="388" t="s">
        <v>297</v>
      </c>
      <c r="F171" s="378">
        <v>2</v>
      </c>
      <c r="G171" s="388" t="s">
        <v>35</v>
      </c>
      <c r="H171" s="388">
        <v>4</v>
      </c>
      <c r="I171" s="388"/>
      <c r="J171" s="378"/>
      <c r="K171" s="378"/>
      <c r="L171" s="378"/>
      <c r="M171" s="378"/>
      <c r="N171" s="34"/>
      <c r="O171" s="378"/>
      <c r="P171" s="34"/>
      <c r="Q171" s="34"/>
      <c r="R171" s="34"/>
      <c r="S171" s="34"/>
      <c r="T171" s="35"/>
      <c r="U171" s="378"/>
      <c r="V171" s="378"/>
      <c r="W171" s="378"/>
      <c r="X171" s="378"/>
      <c r="Y171" s="36"/>
      <c r="Z171" s="184" t="s">
        <v>615</v>
      </c>
      <c r="AE171" s="184"/>
      <c r="AF171" s="184"/>
    </row>
    <row r="172" spans="1:32" s="1" customFormat="1" ht="19.5" customHeight="1" x14ac:dyDescent="0.3">
      <c r="A172" s="369"/>
      <c r="B172" s="403"/>
      <c r="C172" s="381"/>
      <c r="D172" s="93" t="s">
        <v>43</v>
      </c>
      <c r="E172" s="388" t="s">
        <v>322</v>
      </c>
      <c r="F172" s="378">
        <v>2</v>
      </c>
      <c r="G172" s="388" t="s">
        <v>35</v>
      </c>
      <c r="H172" s="388">
        <v>5</v>
      </c>
      <c r="I172" s="388"/>
      <c r="J172" s="378"/>
      <c r="K172" s="378"/>
      <c r="L172" s="378"/>
      <c r="M172" s="378"/>
      <c r="N172" s="34"/>
      <c r="O172" s="378"/>
      <c r="P172" s="34"/>
      <c r="Q172" s="34"/>
      <c r="R172" s="34"/>
      <c r="S172" s="34"/>
      <c r="T172" s="35"/>
      <c r="U172" s="378"/>
      <c r="V172" s="378"/>
      <c r="W172" s="378"/>
      <c r="X172" s="378"/>
      <c r="Y172" s="36"/>
      <c r="Z172" s="184" t="s">
        <v>615</v>
      </c>
      <c r="AE172" s="184"/>
      <c r="AF172" s="184"/>
    </row>
    <row r="173" spans="1:32" s="1" customFormat="1" ht="19.5" customHeight="1" x14ac:dyDescent="0.3">
      <c r="A173" s="369"/>
      <c r="B173" s="403"/>
      <c r="C173" s="381"/>
      <c r="D173" s="388" t="s">
        <v>60</v>
      </c>
      <c r="E173" s="388" t="s">
        <v>295</v>
      </c>
      <c r="F173" s="378">
        <v>2</v>
      </c>
      <c r="G173" s="378" t="s">
        <v>35</v>
      </c>
      <c r="H173" s="388">
        <v>13</v>
      </c>
      <c r="I173" s="388"/>
      <c r="J173" s="378">
        <v>8</v>
      </c>
      <c r="K173" s="378"/>
      <c r="L173" s="378"/>
      <c r="M173" s="378"/>
      <c r="N173" s="34"/>
      <c r="O173" s="34">
        <v>1.5</v>
      </c>
      <c r="P173" s="34"/>
      <c r="Q173" s="34"/>
      <c r="R173" s="34"/>
      <c r="S173" s="34"/>
      <c r="T173" s="35"/>
      <c r="U173" s="378"/>
      <c r="V173" s="378"/>
      <c r="W173" s="378"/>
      <c r="X173" s="378"/>
      <c r="Y173" s="57">
        <v>0.31</v>
      </c>
      <c r="Z173" s="184" t="s">
        <v>615</v>
      </c>
      <c r="AE173" s="184"/>
      <c r="AF173" s="184"/>
    </row>
    <row r="174" spans="1:32" s="1" customFormat="1" ht="19.5" customHeight="1" x14ac:dyDescent="0.3">
      <c r="A174" s="369"/>
      <c r="B174" s="403"/>
      <c r="C174" s="381"/>
      <c r="D174" s="93" t="s">
        <v>114</v>
      </c>
      <c r="E174" s="378" t="s">
        <v>296</v>
      </c>
      <c r="F174" s="378">
        <v>2</v>
      </c>
      <c r="G174" s="388" t="s">
        <v>35</v>
      </c>
      <c r="H174" s="388">
        <v>6</v>
      </c>
      <c r="I174" s="388"/>
      <c r="J174" s="378"/>
      <c r="K174" s="378"/>
      <c r="L174" s="378"/>
      <c r="M174" s="378"/>
      <c r="N174" s="34"/>
      <c r="O174" s="378"/>
      <c r="P174" s="34"/>
      <c r="Q174" s="34"/>
      <c r="R174" s="34"/>
      <c r="S174" s="34"/>
      <c r="T174" s="35"/>
      <c r="U174" s="378"/>
      <c r="V174" s="378"/>
      <c r="W174" s="378"/>
      <c r="X174" s="378"/>
      <c r="Y174" s="36"/>
      <c r="Z174" s="184" t="s">
        <v>615</v>
      </c>
      <c r="AE174" s="184"/>
      <c r="AF174" s="184"/>
    </row>
    <row r="175" spans="1:32" s="1" customFormat="1" ht="19.5" customHeight="1" x14ac:dyDescent="0.3">
      <c r="A175" s="369"/>
      <c r="B175" s="403"/>
      <c r="C175" s="381"/>
      <c r="D175" s="93" t="s">
        <v>46</v>
      </c>
      <c r="E175" s="388" t="s">
        <v>301</v>
      </c>
      <c r="F175" s="378">
        <v>2</v>
      </c>
      <c r="G175" s="388" t="s">
        <v>35</v>
      </c>
      <c r="H175" s="388">
        <v>7</v>
      </c>
      <c r="I175" s="388"/>
      <c r="J175" s="378"/>
      <c r="K175" s="378"/>
      <c r="L175" s="378"/>
      <c r="M175" s="378"/>
      <c r="N175" s="34"/>
      <c r="O175" s="378"/>
      <c r="P175" s="34"/>
      <c r="Q175" s="34"/>
      <c r="R175" s="34"/>
      <c r="S175" s="34"/>
      <c r="T175" s="35"/>
      <c r="U175" s="378"/>
      <c r="V175" s="378"/>
      <c r="W175" s="378"/>
      <c r="X175" s="378"/>
      <c r="Y175" s="36"/>
      <c r="Z175" s="184" t="s">
        <v>615</v>
      </c>
      <c r="AE175" s="184"/>
      <c r="AF175" s="184"/>
    </row>
    <row r="176" spans="1:32" s="1" customFormat="1" ht="19.5" customHeight="1" x14ac:dyDescent="0.3">
      <c r="A176" s="369"/>
      <c r="B176" s="403"/>
      <c r="C176" s="381"/>
      <c r="D176" s="388" t="s">
        <v>81</v>
      </c>
      <c r="E176" s="388" t="s">
        <v>304</v>
      </c>
      <c r="F176" s="378">
        <v>2</v>
      </c>
      <c r="G176" s="388" t="s">
        <v>35</v>
      </c>
      <c r="H176" s="388">
        <v>18</v>
      </c>
      <c r="I176" s="388"/>
      <c r="J176" s="378">
        <v>8</v>
      </c>
      <c r="K176" s="378"/>
      <c r="L176" s="378"/>
      <c r="M176" s="378"/>
      <c r="N176" s="34"/>
      <c r="O176" s="34">
        <v>1.5</v>
      </c>
      <c r="P176" s="34"/>
      <c r="Q176" s="34"/>
      <c r="R176" s="34"/>
      <c r="S176" s="34"/>
      <c r="T176" s="35"/>
      <c r="U176" s="378"/>
      <c r="V176" s="378"/>
      <c r="W176" s="378"/>
      <c r="X176" s="378"/>
      <c r="Y176" s="57">
        <v>0.31</v>
      </c>
      <c r="Z176" s="184" t="s">
        <v>615</v>
      </c>
      <c r="AE176" s="184"/>
      <c r="AF176" s="184"/>
    </row>
    <row r="177" spans="1:32" s="1" customFormat="1" ht="19.5" customHeight="1" x14ac:dyDescent="0.3">
      <c r="A177" s="369"/>
      <c r="B177" s="403"/>
      <c r="C177" s="381"/>
      <c r="D177" s="93" t="s">
        <v>52</v>
      </c>
      <c r="E177" s="388" t="s">
        <v>300</v>
      </c>
      <c r="F177" s="378">
        <v>2</v>
      </c>
      <c r="G177" s="388" t="s">
        <v>35</v>
      </c>
      <c r="H177" s="388">
        <v>25</v>
      </c>
      <c r="I177" s="388">
        <v>16</v>
      </c>
      <c r="J177" s="378">
        <v>8</v>
      </c>
      <c r="K177" s="378"/>
      <c r="L177" s="378"/>
      <c r="M177" s="378">
        <v>4</v>
      </c>
      <c r="N177" s="378"/>
      <c r="O177" s="378">
        <v>1.5</v>
      </c>
      <c r="P177" s="378"/>
      <c r="Q177" s="378"/>
      <c r="R177" s="378"/>
      <c r="S177" s="378"/>
      <c r="T177" s="378"/>
      <c r="U177" s="378"/>
      <c r="V177" s="378"/>
      <c r="W177" s="388"/>
      <c r="X177" s="35"/>
      <c r="Y177" s="57">
        <v>0.98</v>
      </c>
      <c r="Z177" s="184" t="s">
        <v>615</v>
      </c>
      <c r="AE177" s="184"/>
      <c r="AF177" s="184"/>
    </row>
    <row r="178" spans="1:32" s="1" customFormat="1" ht="19.5" customHeight="1" x14ac:dyDescent="0.3">
      <c r="A178" s="369"/>
      <c r="B178" s="403"/>
      <c r="C178" s="381"/>
      <c r="D178" s="93" t="s">
        <v>52</v>
      </c>
      <c r="E178" s="388" t="s">
        <v>319</v>
      </c>
      <c r="F178" s="378">
        <v>2</v>
      </c>
      <c r="G178" s="388" t="s">
        <v>35</v>
      </c>
      <c r="H178" s="388">
        <v>25</v>
      </c>
      <c r="I178" s="388"/>
      <c r="J178" s="378">
        <v>8</v>
      </c>
      <c r="K178" s="378"/>
      <c r="L178" s="378"/>
      <c r="M178" s="378"/>
      <c r="N178" s="34"/>
      <c r="O178" s="34">
        <v>1.5</v>
      </c>
      <c r="P178" s="34"/>
      <c r="Q178" s="34"/>
      <c r="R178" s="34"/>
      <c r="S178" s="34"/>
      <c r="T178" s="35"/>
      <c r="U178" s="378"/>
      <c r="V178" s="378"/>
      <c r="W178" s="378"/>
      <c r="X178" s="378"/>
      <c r="Y178" s="57">
        <v>0.31</v>
      </c>
      <c r="Z178" s="184" t="s">
        <v>615</v>
      </c>
      <c r="AE178" s="184"/>
      <c r="AF178" s="184"/>
    </row>
    <row r="179" spans="1:32" s="1" customFormat="1" ht="19.5" customHeight="1" x14ac:dyDescent="0.3">
      <c r="A179" s="369"/>
      <c r="B179" s="403"/>
      <c r="C179" s="381"/>
      <c r="D179" s="93" t="s">
        <v>52</v>
      </c>
      <c r="E179" s="388" t="s">
        <v>302</v>
      </c>
      <c r="F179" s="378">
        <v>2</v>
      </c>
      <c r="G179" s="388" t="s">
        <v>35</v>
      </c>
      <c r="H179" s="388">
        <v>29</v>
      </c>
      <c r="I179" s="388"/>
      <c r="J179" s="378">
        <v>8</v>
      </c>
      <c r="K179" s="378"/>
      <c r="L179" s="378"/>
      <c r="M179" s="378"/>
      <c r="N179" s="34"/>
      <c r="O179" s="34">
        <v>1.5</v>
      </c>
      <c r="P179" s="34"/>
      <c r="Q179" s="34"/>
      <c r="R179" s="34"/>
      <c r="S179" s="34"/>
      <c r="T179" s="35"/>
      <c r="U179" s="378"/>
      <c r="V179" s="378"/>
      <c r="W179" s="378"/>
      <c r="X179" s="378"/>
      <c r="Y179" s="57">
        <v>0.31</v>
      </c>
      <c r="Z179" s="184" t="s">
        <v>615</v>
      </c>
      <c r="AE179" s="184"/>
      <c r="AF179" s="184"/>
    </row>
    <row r="180" spans="1:32" s="1" customFormat="1" ht="19.5" customHeight="1" x14ac:dyDescent="0.3">
      <c r="A180" s="369"/>
      <c r="B180" s="403"/>
      <c r="C180" s="381"/>
      <c r="D180" s="93" t="s">
        <v>52</v>
      </c>
      <c r="E180" s="388" t="s">
        <v>320</v>
      </c>
      <c r="F180" s="378">
        <v>2</v>
      </c>
      <c r="G180" s="388" t="s">
        <v>35</v>
      </c>
      <c r="H180" s="388">
        <v>29</v>
      </c>
      <c r="I180" s="388"/>
      <c r="J180" s="378">
        <v>8</v>
      </c>
      <c r="K180" s="378"/>
      <c r="L180" s="378"/>
      <c r="M180" s="378"/>
      <c r="N180" s="34"/>
      <c r="O180" s="34">
        <v>1.5</v>
      </c>
      <c r="P180" s="34"/>
      <c r="Q180" s="34"/>
      <c r="R180" s="34"/>
      <c r="S180" s="34"/>
      <c r="T180" s="35"/>
      <c r="U180" s="378"/>
      <c r="V180" s="378"/>
      <c r="W180" s="378"/>
      <c r="X180" s="378"/>
      <c r="Y180" s="57">
        <v>0.31</v>
      </c>
      <c r="Z180" s="184" t="s">
        <v>615</v>
      </c>
      <c r="AE180" s="184"/>
      <c r="AF180" s="184"/>
    </row>
    <row r="181" spans="1:32" s="1" customFormat="1" ht="19.5" customHeight="1" x14ac:dyDescent="0.3">
      <c r="A181" s="369"/>
      <c r="B181" s="403"/>
      <c r="C181" s="381"/>
      <c r="D181" s="93" t="s">
        <v>52</v>
      </c>
      <c r="E181" s="388" t="s">
        <v>303</v>
      </c>
      <c r="F181" s="378">
        <v>2</v>
      </c>
      <c r="G181" s="388" t="s">
        <v>35</v>
      </c>
      <c r="H181" s="388">
        <v>30</v>
      </c>
      <c r="I181" s="388">
        <v>16</v>
      </c>
      <c r="J181" s="378">
        <v>8</v>
      </c>
      <c r="K181" s="378"/>
      <c r="L181" s="378"/>
      <c r="M181" s="378">
        <v>4</v>
      </c>
      <c r="N181" s="378"/>
      <c r="O181" s="378">
        <v>1.5</v>
      </c>
      <c r="P181" s="378"/>
      <c r="Q181" s="378"/>
      <c r="R181" s="378"/>
      <c r="S181" s="378"/>
      <c r="T181" s="378"/>
      <c r="U181" s="378"/>
      <c r="V181" s="378"/>
      <c r="W181" s="388"/>
      <c r="X181" s="35"/>
      <c r="Y181" s="57">
        <v>0.98</v>
      </c>
      <c r="Z181" s="184" t="s">
        <v>615</v>
      </c>
      <c r="AE181" s="184"/>
      <c r="AF181" s="184"/>
    </row>
    <row r="182" spans="1:32" s="1" customFormat="1" ht="19.5" customHeight="1" x14ac:dyDescent="0.3">
      <c r="A182" s="369"/>
      <c r="B182" s="403"/>
      <c r="C182" s="381"/>
      <c r="D182" s="93" t="s">
        <v>52</v>
      </c>
      <c r="E182" s="388" t="s">
        <v>321</v>
      </c>
      <c r="F182" s="378">
        <v>2</v>
      </c>
      <c r="G182" s="388" t="s">
        <v>35</v>
      </c>
      <c r="H182" s="388">
        <v>30</v>
      </c>
      <c r="I182" s="388"/>
      <c r="J182" s="378">
        <v>8</v>
      </c>
      <c r="K182" s="378"/>
      <c r="L182" s="378"/>
      <c r="M182" s="378"/>
      <c r="N182" s="34"/>
      <c r="O182" s="34">
        <v>1.5</v>
      </c>
      <c r="P182" s="34"/>
      <c r="Q182" s="34"/>
      <c r="R182" s="34"/>
      <c r="S182" s="34"/>
      <c r="T182" s="35"/>
      <c r="U182" s="378"/>
      <c r="V182" s="378"/>
      <c r="W182" s="378"/>
      <c r="X182" s="378"/>
      <c r="Y182" s="57">
        <v>0.31</v>
      </c>
      <c r="Z182" s="184" t="s">
        <v>615</v>
      </c>
      <c r="AE182" s="184"/>
      <c r="AF182" s="184"/>
    </row>
    <row r="183" spans="1:32" s="1" customFormat="1" ht="19.5" customHeight="1" x14ac:dyDescent="0.3">
      <c r="A183" s="369"/>
      <c r="B183" s="403"/>
      <c r="C183" s="381"/>
      <c r="D183" s="378" t="s">
        <v>62</v>
      </c>
      <c r="E183" s="378" t="s">
        <v>305</v>
      </c>
      <c r="F183" s="378">
        <v>2</v>
      </c>
      <c r="G183" s="378" t="s">
        <v>32</v>
      </c>
      <c r="H183" s="388">
        <v>5</v>
      </c>
      <c r="I183" s="388">
        <v>16</v>
      </c>
      <c r="J183" s="378">
        <v>8</v>
      </c>
      <c r="K183" s="378"/>
      <c r="L183" s="378"/>
      <c r="M183" s="378">
        <v>4</v>
      </c>
      <c r="N183" s="378"/>
      <c r="O183" s="378">
        <v>1.5</v>
      </c>
      <c r="P183" s="378"/>
      <c r="Q183" s="378"/>
      <c r="R183" s="378"/>
      <c r="S183" s="378"/>
      <c r="T183" s="378"/>
      <c r="U183" s="378"/>
      <c r="V183" s="378"/>
      <c r="W183" s="388"/>
      <c r="X183" s="35"/>
      <c r="Y183" s="57">
        <v>0.98</v>
      </c>
      <c r="Z183" s="184" t="s">
        <v>603</v>
      </c>
      <c r="AE183" s="184"/>
      <c r="AF183" s="184"/>
    </row>
    <row r="184" spans="1:32" s="1" customFormat="1" ht="19.5" customHeight="1" x14ac:dyDescent="0.3">
      <c r="A184" s="369"/>
      <c r="B184" s="403"/>
      <c r="C184" s="381"/>
      <c r="D184" s="388" t="s">
        <v>210</v>
      </c>
      <c r="E184" s="388" t="s">
        <v>323</v>
      </c>
      <c r="F184" s="378">
        <v>2</v>
      </c>
      <c r="G184" s="378" t="s">
        <v>32</v>
      </c>
      <c r="H184" s="388">
        <v>3</v>
      </c>
      <c r="I184" s="388"/>
      <c r="J184" s="378"/>
      <c r="K184" s="378"/>
      <c r="L184" s="378"/>
      <c r="M184" s="378"/>
      <c r="N184" s="34"/>
      <c r="O184" s="378"/>
      <c r="P184" s="34"/>
      <c r="Q184" s="34"/>
      <c r="R184" s="34"/>
      <c r="S184" s="34"/>
      <c r="T184" s="35"/>
      <c r="U184" s="378"/>
      <c r="V184" s="378"/>
      <c r="W184" s="378"/>
      <c r="X184" s="378"/>
      <c r="Y184" s="36"/>
      <c r="Z184" s="184" t="s">
        <v>603</v>
      </c>
      <c r="AE184" s="184"/>
      <c r="AF184" s="184"/>
    </row>
    <row r="185" spans="1:32" s="1" customFormat="1" ht="19.5" customHeight="1" x14ac:dyDescent="0.3">
      <c r="A185" s="369"/>
      <c r="B185" s="403"/>
      <c r="C185" s="381"/>
      <c r="D185" s="378" t="s">
        <v>170</v>
      </c>
      <c r="E185" s="378" t="s">
        <v>306</v>
      </c>
      <c r="F185" s="378">
        <v>2</v>
      </c>
      <c r="G185" s="378" t="s">
        <v>32</v>
      </c>
      <c r="H185" s="388">
        <v>3</v>
      </c>
      <c r="I185" s="388"/>
      <c r="J185" s="378"/>
      <c r="K185" s="378"/>
      <c r="L185" s="378"/>
      <c r="M185" s="378"/>
      <c r="N185" s="34"/>
      <c r="O185" s="378"/>
      <c r="P185" s="34"/>
      <c r="Q185" s="34"/>
      <c r="R185" s="34"/>
      <c r="S185" s="34"/>
      <c r="T185" s="35"/>
      <c r="U185" s="378"/>
      <c r="V185" s="378"/>
      <c r="W185" s="378"/>
      <c r="X185" s="378"/>
      <c r="Y185" s="36"/>
      <c r="Z185" s="184" t="s">
        <v>603</v>
      </c>
      <c r="AE185" s="184"/>
      <c r="AF185" s="184"/>
    </row>
    <row r="186" spans="1:32" s="1" customFormat="1" ht="19.5" customHeight="1" x14ac:dyDescent="0.3">
      <c r="A186" s="369"/>
      <c r="B186" s="403"/>
      <c r="C186" s="381"/>
      <c r="D186" s="378" t="s">
        <v>61</v>
      </c>
      <c r="E186" s="378" t="s">
        <v>307</v>
      </c>
      <c r="F186" s="378">
        <v>2</v>
      </c>
      <c r="G186" s="378" t="s">
        <v>32</v>
      </c>
      <c r="H186" s="388">
        <v>8</v>
      </c>
      <c r="I186" s="388"/>
      <c r="J186" s="378"/>
      <c r="K186" s="378"/>
      <c r="L186" s="378"/>
      <c r="M186" s="378"/>
      <c r="N186" s="34"/>
      <c r="O186" s="378"/>
      <c r="P186" s="34"/>
      <c r="Q186" s="34"/>
      <c r="R186" s="34"/>
      <c r="S186" s="34"/>
      <c r="T186" s="35"/>
      <c r="U186" s="378"/>
      <c r="V186" s="378"/>
      <c r="W186" s="378"/>
      <c r="X186" s="378"/>
      <c r="Y186" s="36"/>
      <c r="Z186" s="184" t="s">
        <v>603</v>
      </c>
      <c r="AE186" s="184"/>
      <c r="AF186" s="184"/>
    </row>
    <row r="187" spans="1:32" s="1" customFormat="1" ht="19.5" customHeight="1" x14ac:dyDescent="0.3">
      <c r="A187" s="369"/>
      <c r="B187" s="403"/>
      <c r="C187" s="381"/>
      <c r="D187" s="93" t="s">
        <v>44</v>
      </c>
      <c r="E187" s="388" t="s">
        <v>308</v>
      </c>
      <c r="F187" s="378">
        <v>2</v>
      </c>
      <c r="G187" s="378" t="s">
        <v>32</v>
      </c>
      <c r="H187" s="388">
        <v>3</v>
      </c>
      <c r="I187" s="388"/>
      <c r="J187" s="378"/>
      <c r="K187" s="378"/>
      <c r="L187" s="378"/>
      <c r="M187" s="378"/>
      <c r="N187" s="34"/>
      <c r="O187" s="378"/>
      <c r="P187" s="34"/>
      <c r="Q187" s="34"/>
      <c r="R187" s="34"/>
      <c r="S187" s="34"/>
      <c r="T187" s="35"/>
      <c r="U187" s="378"/>
      <c r="V187" s="378"/>
      <c r="W187" s="378"/>
      <c r="X187" s="378"/>
      <c r="Y187" s="36"/>
      <c r="Z187" s="184" t="s">
        <v>603</v>
      </c>
      <c r="AE187" s="184"/>
      <c r="AF187" s="184"/>
    </row>
    <row r="188" spans="1:32" s="1" customFormat="1" ht="19.5" customHeight="1" x14ac:dyDescent="0.3">
      <c r="A188" s="369"/>
      <c r="B188" s="403"/>
      <c r="C188" s="381"/>
      <c r="D188" s="93" t="s">
        <v>43</v>
      </c>
      <c r="E188" s="388" t="s">
        <v>309</v>
      </c>
      <c r="F188" s="378">
        <v>2</v>
      </c>
      <c r="G188" s="378" t="s">
        <v>32</v>
      </c>
      <c r="H188" s="388">
        <v>5</v>
      </c>
      <c r="I188" s="388"/>
      <c r="J188" s="378"/>
      <c r="K188" s="378"/>
      <c r="L188" s="378"/>
      <c r="M188" s="378"/>
      <c r="N188" s="34"/>
      <c r="O188" s="378"/>
      <c r="P188" s="34"/>
      <c r="Q188" s="34"/>
      <c r="R188" s="34"/>
      <c r="S188" s="34"/>
      <c r="T188" s="35"/>
      <c r="U188" s="378"/>
      <c r="V188" s="378"/>
      <c r="W188" s="378"/>
      <c r="X188" s="378"/>
      <c r="Y188" s="36"/>
      <c r="Z188" s="184" t="s">
        <v>603</v>
      </c>
      <c r="AE188" s="184"/>
      <c r="AF188" s="184"/>
    </row>
    <row r="189" spans="1:32" s="1" customFormat="1" ht="19.5" customHeight="1" x14ac:dyDescent="0.3">
      <c r="A189" s="369"/>
      <c r="B189" s="403"/>
      <c r="C189" s="381"/>
      <c r="D189" s="388" t="s">
        <v>60</v>
      </c>
      <c r="E189" s="388" t="s">
        <v>310</v>
      </c>
      <c r="F189" s="378">
        <v>2</v>
      </c>
      <c r="G189" s="378" t="s">
        <v>32</v>
      </c>
      <c r="H189" s="388">
        <v>10</v>
      </c>
      <c r="I189" s="388"/>
      <c r="J189" s="378">
        <v>8</v>
      </c>
      <c r="K189" s="378"/>
      <c r="L189" s="378"/>
      <c r="M189" s="378"/>
      <c r="N189" s="34"/>
      <c r="O189" s="34">
        <v>1.5</v>
      </c>
      <c r="P189" s="34"/>
      <c r="Q189" s="34"/>
      <c r="R189" s="34"/>
      <c r="S189" s="34"/>
      <c r="T189" s="35"/>
      <c r="U189" s="378"/>
      <c r="V189" s="378"/>
      <c r="W189" s="378"/>
      <c r="X189" s="378"/>
      <c r="Y189" s="57">
        <v>0.31</v>
      </c>
      <c r="Z189" s="184" t="s">
        <v>603</v>
      </c>
      <c r="AE189" s="184"/>
      <c r="AF189" s="184"/>
    </row>
    <row r="190" spans="1:32" s="1" customFormat="1" ht="19.5" customHeight="1" x14ac:dyDescent="0.3">
      <c r="A190" s="369"/>
      <c r="B190" s="403"/>
      <c r="C190" s="381"/>
      <c r="D190" s="93" t="s">
        <v>114</v>
      </c>
      <c r="E190" s="378" t="s">
        <v>312</v>
      </c>
      <c r="F190" s="378">
        <v>2</v>
      </c>
      <c r="G190" s="378" t="s">
        <v>32</v>
      </c>
      <c r="H190" s="388">
        <v>5</v>
      </c>
      <c r="I190" s="388"/>
      <c r="J190" s="378"/>
      <c r="K190" s="378"/>
      <c r="L190" s="378"/>
      <c r="M190" s="378"/>
      <c r="N190" s="34"/>
      <c r="O190" s="378"/>
      <c r="P190" s="34"/>
      <c r="Q190" s="34"/>
      <c r="R190" s="34"/>
      <c r="S190" s="34"/>
      <c r="T190" s="35"/>
      <c r="U190" s="378"/>
      <c r="V190" s="378"/>
      <c r="W190" s="378"/>
      <c r="X190" s="378"/>
      <c r="Y190" s="36"/>
      <c r="Z190" s="184" t="s">
        <v>603</v>
      </c>
      <c r="AE190" s="184"/>
      <c r="AF190" s="184"/>
    </row>
    <row r="191" spans="1:32" s="1" customFormat="1" ht="19.5" customHeight="1" x14ac:dyDescent="0.3">
      <c r="A191" s="369"/>
      <c r="B191" s="403"/>
      <c r="C191" s="381"/>
      <c r="D191" s="93" t="s">
        <v>46</v>
      </c>
      <c r="E191" s="388" t="s">
        <v>313</v>
      </c>
      <c r="F191" s="378">
        <v>2</v>
      </c>
      <c r="G191" s="378" t="s">
        <v>32</v>
      </c>
      <c r="H191" s="388">
        <v>10</v>
      </c>
      <c r="I191" s="388"/>
      <c r="J191" s="378"/>
      <c r="K191" s="378"/>
      <c r="L191" s="378"/>
      <c r="M191" s="378"/>
      <c r="N191" s="34"/>
      <c r="O191" s="378"/>
      <c r="P191" s="34"/>
      <c r="Q191" s="34"/>
      <c r="R191" s="34"/>
      <c r="S191" s="34"/>
      <c r="T191" s="35"/>
      <c r="U191" s="378"/>
      <c r="V191" s="378"/>
      <c r="W191" s="378"/>
      <c r="X191" s="378"/>
      <c r="Y191" s="36"/>
      <c r="Z191" s="184" t="s">
        <v>603</v>
      </c>
      <c r="AE191" s="184"/>
      <c r="AF191" s="184"/>
    </row>
    <row r="192" spans="1:32" s="1" customFormat="1" ht="19.5" customHeight="1" x14ac:dyDescent="0.3">
      <c r="A192" s="369"/>
      <c r="B192" s="403"/>
      <c r="C192" s="381"/>
      <c r="D192" s="388" t="s">
        <v>60</v>
      </c>
      <c r="E192" s="388" t="s">
        <v>324</v>
      </c>
      <c r="F192" s="378">
        <v>2</v>
      </c>
      <c r="G192" s="378" t="s">
        <v>32</v>
      </c>
      <c r="H192" s="388">
        <v>21</v>
      </c>
      <c r="I192" s="388"/>
      <c r="J192" s="378">
        <v>8</v>
      </c>
      <c r="K192" s="378"/>
      <c r="L192" s="378"/>
      <c r="M192" s="378"/>
      <c r="N192" s="34"/>
      <c r="O192" s="34">
        <v>1.5</v>
      </c>
      <c r="P192" s="34"/>
      <c r="Q192" s="34"/>
      <c r="R192" s="34"/>
      <c r="S192" s="34"/>
      <c r="T192" s="35"/>
      <c r="U192" s="378"/>
      <c r="V192" s="378"/>
      <c r="W192" s="378"/>
      <c r="X192" s="378"/>
      <c r="Y192" s="57">
        <v>0.31</v>
      </c>
      <c r="Z192" s="184" t="s">
        <v>603</v>
      </c>
      <c r="AE192" s="184"/>
      <c r="AF192" s="184"/>
    </row>
    <row r="193" spans="1:32" s="1" customFormat="1" ht="19.5" customHeight="1" x14ac:dyDescent="0.3">
      <c r="A193" s="369"/>
      <c r="B193" s="403"/>
      <c r="C193" s="381"/>
      <c r="D193" s="388" t="s">
        <v>81</v>
      </c>
      <c r="E193" s="388" t="s">
        <v>311</v>
      </c>
      <c r="F193" s="378">
        <v>2</v>
      </c>
      <c r="G193" s="378" t="s">
        <v>32</v>
      </c>
      <c r="H193" s="388">
        <v>14</v>
      </c>
      <c r="I193" s="388"/>
      <c r="J193" s="378">
        <v>8</v>
      </c>
      <c r="K193" s="378"/>
      <c r="L193" s="378"/>
      <c r="M193" s="378"/>
      <c r="N193" s="34"/>
      <c r="O193" s="34">
        <v>1.5</v>
      </c>
      <c r="P193" s="34"/>
      <c r="Q193" s="34"/>
      <c r="R193" s="34"/>
      <c r="S193" s="34"/>
      <c r="T193" s="35"/>
      <c r="U193" s="378"/>
      <c r="V193" s="378"/>
      <c r="W193" s="378"/>
      <c r="X193" s="378"/>
      <c r="Y193" s="57">
        <v>0.31</v>
      </c>
      <c r="Z193" s="184" t="s">
        <v>603</v>
      </c>
      <c r="AE193" s="184"/>
      <c r="AF193" s="184"/>
    </row>
    <row r="194" spans="1:32" s="1" customFormat="1" ht="19.5" customHeight="1" x14ac:dyDescent="0.3">
      <c r="A194" s="369"/>
      <c r="B194" s="403"/>
      <c r="C194" s="381"/>
      <c r="D194" s="93" t="s">
        <v>41</v>
      </c>
      <c r="E194" s="378" t="s">
        <v>317</v>
      </c>
      <c r="F194" s="378">
        <v>2</v>
      </c>
      <c r="G194" s="378" t="s">
        <v>32</v>
      </c>
      <c r="H194" s="388">
        <v>4</v>
      </c>
      <c r="I194" s="388">
        <v>16</v>
      </c>
      <c r="J194" s="378">
        <v>8</v>
      </c>
      <c r="K194" s="378"/>
      <c r="L194" s="378"/>
      <c r="M194" s="378">
        <v>4</v>
      </c>
      <c r="N194" s="378"/>
      <c r="O194" s="378">
        <v>1.5</v>
      </c>
      <c r="P194" s="378"/>
      <c r="Q194" s="378"/>
      <c r="R194" s="378"/>
      <c r="S194" s="378"/>
      <c r="T194" s="378"/>
      <c r="U194" s="378"/>
      <c r="V194" s="378"/>
      <c r="W194" s="388"/>
      <c r="X194" s="35"/>
      <c r="Y194" s="57">
        <v>0.98</v>
      </c>
      <c r="Z194" s="184" t="s">
        <v>603</v>
      </c>
      <c r="AE194" s="184"/>
      <c r="AF194" s="184"/>
    </row>
    <row r="195" spans="1:32" s="1" customFormat="1" ht="19.5" customHeight="1" x14ac:dyDescent="0.3">
      <c r="A195" s="369"/>
      <c r="B195" s="403"/>
      <c r="C195" s="381"/>
      <c r="D195" s="378" t="s">
        <v>51</v>
      </c>
      <c r="E195" s="378" t="s">
        <v>314</v>
      </c>
      <c r="F195" s="378">
        <v>2</v>
      </c>
      <c r="G195" s="378" t="s">
        <v>32</v>
      </c>
      <c r="H195" s="388">
        <v>3</v>
      </c>
      <c r="I195" s="388"/>
      <c r="J195" s="378"/>
      <c r="K195" s="378"/>
      <c r="L195" s="378"/>
      <c r="M195" s="378"/>
      <c r="N195" s="34"/>
      <c r="O195" s="378"/>
      <c r="P195" s="34"/>
      <c r="Q195" s="34"/>
      <c r="R195" s="34"/>
      <c r="S195" s="34"/>
      <c r="T195" s="35"/>
      <c r="U195" s="378"/>
      <c r="V195" s="378"/>
      <c r="W195" s="378"/>
      <c r="X195" s="378"/>
      <c r="Y195" s="36"/>
      <c r="Z195" s="184" t="s">
        <v>603</v>
      </c>
      <c r="AE195" s="184"/>
      <c r="AF195" s="184"/>
    </row>
    <row r="196" spans="1:32" s="1" customFormat="1" ht="19.5" customHeight="1" x14ac:dyDescent="0.3">
      <c r="A196" s="369"/>
      <c r="B196" s="403"/>
      <c r="C196" s="381"/>
      <c r="D196" s="93" t="s">
        <v>52</v>
      </c>
      <c r="E196" s="388" t="s">
        <v>315</v>
      </c>
      <c r="F196" s="378">
        <v>2</v>
      </c>
      <c r="G196" s="378" t="s">
        <v>32</v>
      </c>
      <c r="H196" s="388">
        <v>21</v>
      </c>
      <c r="I196" s="388"/>
      <c r="J196" s="378"/>
      <c r="K196" s="378"/>
      <c r="L196" s="378"/>
      <c r="M196" s="378"/>
      <c r="N196" s="34"/>
      <c r="O196" s="378"/>
      <c r="P196" s="34"/>
      <c r="Q196" s="34"/>
      <c r="R196" s="34"/>
      <c r="S196" s="34"/>
      <c r="T196" s="35"/>
      <c r="U196" s="378"/>
      <c r="V196" s="378"/>
      <c r="W196" s="378"/>
      <c r="X196" s="378"/>
      <c r="Y196" s="36"/>
      <c r="Z196" s="184" t="s">
        <v>603</v>
      </c>
      <c r="AE196" s="184"/>
      <c r="AF196" s="184"/>
    </row>
    <row r="197" spans="1:32" s="1" customFormat="1" ht="19.5" customHeight="1" x14ac:dyDescent="0.3">
      <c r="A197" s="369"/>
      <c r="B197" s="403"/>
      <c r="C197" s="381"/>
      <c r="D197" s="93" t="s">
        <v>52</v>
      </c>
      <c r="E197" s="388" t="s">
        <v>316</v>
      </c>
      <c r="F197" s="378">
        <v>2</v>
      </c>
      <c r="G197" s="378" t="s">
        <v>32</v>
      </c>
      <c r="H197" s="388">
        <v>27</v>
      </c>
      <c r="I197" s="388"/>
      <c r="J197" s="378">
        <v>8</v>
      </c>
      <c r="K197" s="378"/>
      <c r="L197" s="378"/>
      <c r="M197" s="378"/>
      <c r="N197" s="34"/>
      <c r="O197" s="34">
        <v>1.5</v>
      </c>
      <c r="P197" s="34"/>
      <c r="Q197" s="34"/>
      <c r="R197" s="34"/>
      <c r="S197" s="34"/>
      <c r="T197" s="35"/>
      <c r="U197" s="378"/>
      <c r="V197" s="378"/>
      <c r="W197" s="378"/>
      <c r="X197" s="378"/>
      <c r="Y197" s="57">
        <v>0.31</v>
      </c>
      <c r="Z197" s="184" t="s">
        <v>603</v>
      </c>
      <c r="AE197" s="184"/>
      <c r="AF197" s="184"/>
    </row>
    <row r="198" spans="1:32" s="1" customFormat="1" ht="19.5" customHeight="1" x14ac:dyDescent="0.3">
      <c r="A198" s="369"/>
      <c r="B198" s="395" t="s">
        <v>676</v>
      </c>
      <c r="C198" s="375"/>
      <c r="D198" s="384" t="s">
        <v>49</v>
      </c>
      <c r="E198" s="384" t="s">
        <v>291</v>
      </c>
      <c r="F198" s="384">
        <v>2</v>
      </c>
      <c r="G198" s="384" t="s">
        <v>35</v>
      </c>
      <c r="H198" s="386">
        <v>6</v>
      </c>
      <c r="I198" s="386">
        <v>14</v>
      </c>
      <c r="J198" s="384">
        <v>7</v>
      </c>
      <c r="K198" s="384"/>
      <c r="L198" s="384"/>
      <c r="M198" s="384"/>
      <c r="N198" s="230"/>
      <c r="O198" s="228" t="s">
        <v>616</v>
      </c>
      <c r="P198" s="230"/>
      <c r="Q198" s="230"/>
      <c r="R198" s="230"/>
      <c r="S198" s="230"/>
      <c r="T198" s="231"/>
      <c r="U198" s="384"/>
      <c r="V198" s="384"/>
      <c r="W198" s="384"/>
      <c r="X198" s="384"/>
      <c r="Y198" s="239"/>
      <c r="Z198" s="228" t="s">
        <v>616</v>
      </c>
      <c r="AE198" s="184"/>
      <c r="AF198" s="184"/>
    </row>
    <row r="199" spans="1:32" s="1" customFormat="1" ht="19.5" customHeight="1" x14ac:dyDescent="0.3">
      <c r="A199" s="369"/>
      <c r="B199" s="396"/>
      <c r="C199" s="376"/>
      <c r="D199" s="384" t="s">
        <v>62</v>
      </c>
      <c r="E199" s="384" t="s">
        <v>292</v>
      </c>
      <c r="F199" s="384">
        <v>2</v>
      </c>
      <c r="G199" s="386" t="s">
        <v>35</v>
      </c>
      <c r="H199" s="386">
        <v>9</v>
      </c>
      <c r="I199" s="386"/>
      <c r="J199" s="384"/>
      <c r="K199" s="384"/>
      <c r="L199" s="384"/>
      <c r="M199" s="384"/>
      <c r="N199" s="230"/>
      <c r="O199" s="228" t="s">
        <v>616</v>
      </c>
      <c r="P199" s="230"/>
      <c r="Q199" s="230"/>
      <c r="R199" s="230"/>
      <c r="S199" s="230"/>
      <c r="T199" s="231"/>
      <c r="U199" s="384"/>
      <c r="V199" s="384"/>
      <c r="W199" s="384"/>
      <c r="X199" s="384"/>
      <c r="Y199" s="239"/>
      <c r="Z199" s="228" t="s">
        <v>616</v>
      </c>
      <c r="AE199" s="184"/>
      <c r="AF199" s="184"/>
    </row>
    <row r="200" spans="1:32" s="1" customFormat="1" ht="19.5" customHeight="1" x14ac:dyDescent="0.3">
      <c r="A200" s="369"/>
      <c r="B200" s="396"/>
      <c r="C200" s="376"/>
      <c r="D200" s="386" t="s">
        <v>210</v>
      </c>
      <c r="E200" s="386" t="s">
        <v>293</v>
      </c>
      <c r="F200" s="384">
        <v>2</v>
      </c>
      <c r="G200" s="386" t="s">
        <v>35</v>
      </c>
      <c r="H200" s="386">
        <v>6</v>
      </c>
      <c r="I200" s="386"/>
      <c r="J200" s="384"/>
      <c r="K200" s="384"/>
      <c r="L200" s="384"/>
      <c r="M200" s="384"/>
      <c r="N200" s="230"/>
      <c r="O200" s="228" t="s">
        <v>616</v>
      </c>
      <c r="P200" s="230"/>
      <c r="Q200" s="230"/>
      <c r="R200" s="230"/>
      <c r="S200" s="230"/>
      <c r="T200" s="231"/>
      <c r="U200" s="384"/>
      <c r="V200" s="384"/>
      <c r="W200" s="384"/>
      <c r="X200" s="384"/>
      <c r="Y200" s="239"/>
      <c r="Z200" s="228" t="s">
        <v>616</v>
      </c>
      <c r="AE200" s="184"/>
      <c r="AF200" s="184"/>
    </row>
    <row r="201" spans="1:32" s="1" customFormat="1" ht="19.5" customHeight="1" x14ac:dyDescent="0.3">
      <c r="A201" s="369"/>
      <c r="B201" s="396"/>
      <c r="C201" s="376"/>
      <c r="D201" s="225" t="s">
        <v>41</v>
      </c>
      <c r="E201" s="384" t="s">
        <v>318</v>
      </c>
      <c r="F201" s="384">
        <v>2</v>
      </c>
      <c r="G201" s="384" t="s">
        <v>35</v>
      </c>
      <c r="H201" s="386">
        <v>1</v>
      </c>
      <c r="I201" s="386"/>
      <c r="J201" s="384"/>
      <c r="K201" s="384"/>
      <c r="L201" s="384"/>
      <c r="M201" s="384"/>
      <c r="N201" s="230"/>
      <c r="O201" s="228" t="s">
        <v>616</v>
      </c>
      <c r="P201" s="230"/>
      <c r="Q201" s="230"/>
      <c r="R201" s="230"/>
      <c r="S201" s="230"/>
      <c r="T201" s="231"/>
      <c r="U201" s="384"/>
      <c r="V201" s="384"/>
      <c r="W201" s="384"/>
      <c r="X201" s="384"/>
      <c r="Y201" s="239"/>
      <c r="Z201" s="228" t="s">
        <v>616</v>
      </c>
      <c r="AE201" s="184"/>
      <c r="AF201" s="184"/>
    </row>
    <row r="202" spans="1:32" s="1" customFormat="1" ht="19.5" customHeight="1" x14ac:dyDescent="0.3">
      <c r="A202" s="369"/>
      <c r="B202" s="396"/>
      <c r="C202" s="376"/>
      <c r="D202" s="384" t="s">
        <v>51</v>
      </c>
      <c r="E202" s="384" t="s">
        <v>299</v>
      </c>
      <c r="F202" s="384">
        <v>2</v>
      </c>
      <c r="G202" s="386" t="s">
        <v>35</v>
      </c>
      <c r="H202" s="386">
        <v>3</v>
      </c>
      <c r="I202" s="386"/>
      <c r="J202" s="384"/>
      <c r="K202" s="384"/>
      <c r="L202" s="384"/>
      <c r="M202" s="384"/>
      <c r="N202" s="230"/>
      <c r="O202" s="228" t="s">
        <v>616</v>
      </c>
      <c r="P202" s="230"/>
      <c r="Q202" s="230"/>
      <c r="R202" s="230"/>
      <c r="S202" s="230"/>
      <c r="T202" s="231"/>
      <c r="U202" s="384"/>
      <c r="V202" s="384"/>
      <c r="W202" s="384"/>
      <c r="X202" s="384"/>
      <c r="Y202" s="239"/>
      <c r="Z202" s="228" t="s">
        <v>616</v>
      </c>
      <c r="AE202" s="184"/>
      <c r="AF202" s="184"/>
    </row>
    <row r="203" spans="1:32" s="1" customFormat="1" ht="19.5" customHeight="1" x14ac:dyDescent="0.3">
      <c r="A203" s="369"/>
      <c r="B203" s="396"/>
      <c r="C203" s="376"/>
      <c r="D203" s="384" t="s">
        <v>170</v>
      </c>
      <c r="E203" s="384" t="s">
        <v>294</v>
      </c>
      <c r="F203" s="384">
        <v>2</v>
      </c>
      <c r="G203" s="384" t="s">
        <v>35</v>
      </c>
      <c r="H203" s="386">
        <v>11</v>
      </c>
      <c r="I203" s="386"/>
      <c r="J203" s="384">
        <v>7</v>
      </c>
      <c r="K203" s="384"/>
      <c r="L203" s="384"/>
      <c r="M203" s="384"/>
      <c r="N203" s="230"/>
      <c r="O203" s="228" t="s">
        <v>616</v>
      </c>
      <c r="P203" s="230"/>
      <c r="Q203" s="230"/>
      <c r="R203" s="230"/>
      <c r="S203" s="230"/>
      <c r="T203" s="231"/>
      <c r="U203" s="384"/>
      <c r="V203" s="384"/>
      <c r="W203" s="384"/>
      <c r="X203" s="384"/>
      <c r="Y203" s="239"/>
      <c r="Z203" s="228" t="s">
        <v>616</v>
      </c>
      <c r="AE203" s="184"/>
      <c r="AF203" s="184"/>
    </row>
    <row r="204" spans="1:32" s="1" customFormat="1" ht="19.5" customHeight="1" x14ac:dyDescent="0.3">
      <c r="A204" s="369"/>
      <c r="B204" s="396"/>
      <c r="C204" s="376"/>
      <c r="D204" s="384" t="s">
        <v>61</v>
      </c>
      <c r="E204" s="384" t="s">
        <v>298</v>
      </c>
      <c r="F204" s="384">
        <v>2</v>
      </c>
      <c r="G204" s="386" t="s">
        <v>35</v>
      </c>
      <c r="H204" s="386">
        <v>6</v>
      </c>
      <c r="I204" s="386"/>
      <c r="J204" s="384"/>
      <c r="K204" s="384"/>
      <c r="L204" s="384"/>
      <c r="M204" s="384"/>
      <c r="N204" s="230"/>
      <c r="O204" s="228" t="s">
        <v>616</v>
      </c>
      <c r="P204" s="230"/>
      <c r="Q204" s="230"/>
      <c r="R204" s="230"/>
      <c r="S204" s="230"/>
      <c r="T204" s="231"/>
      <c r="U204" s="384"/>
      <c r="V204" s="384"/>
      <c r="W204" s="384"/>
      <c r="X204" s="384"/>
      <c r="Y204" s="239"/>
      <c r="Z204" s="228" t="s">
        <v>616</v>
      </c>
      <c r="AE204" s="184"/>
      <c r="AF204" s="184"/>
    </row>
    <row r="205" spans="1:32" s="1" customFormat="1" ht="19.5" customHeight="1" x14ac:dyDescent="0.3">
      <c r="A205" s="369"/>
      <c r="B205" s="396"/>
      <c r="C205" s="376"/>
      <c r="D205" s="225" t="s">
        <v>44</v>
      </c>
      <c r="E205" s="386" t="s">
        <v>297</v>
      </c>
      <c r="F205" s="384">
        <v>2</v>
      </c>
      <c r="G205" s="386" t="s">
        <v>35</v>
      </c>
      <c r="H205" s="386">
        <v>4</v>
      </c>
      <c r="I205" s="386"/>
      <c r="J205" s="384"/>
      <c r="K205" s="384"/>
      <c r="L205" s="384"/>
      <c r="M205" s="384"/>
      <c r="N205" s="230"/>
      <c r="O205" s="228" t="s">
        <v>616</v>
      </c>
      <c r="P205" s="230"/>
      <c r="Q205" s="230"/>
      <c r="R205" s="230"/>
      <c r="S205" s="230"/>
      <c r="T205" s="231"/>
      <c r="U205" s="384"/>
      <c r="V205" s="384"/>
      <c r="W205" s="384"/>
      <c r="X205" s="384"/>
      <c r="Y205" s="239"/>
      <c r="Z205" s="228" t="s">
        <v>616</v>
      </c>
      <c r="AE205" s="184"/>
      <c r="AF205" s="184"/>
    </row>
    <row r="206" spans="1:32" s="1" customFormat="1" ht="19.5" customHeight="1" x14ac:dyDescent="0.3">
      <c r="A206" s="369"/>
      <c r="B206" s="396"/>
      <c r="C206" s="376"/>
      <c r="D206" s="225" t="s">
        <v>43</v>
      </c>
      <c r="E206" s="386" t="s">
        <v>322</v>
      </c>
      <c r="F206" s="384">
        <v>2</v>
      </c>
      <c r="G206" s="386" t="s">
        <v>35</v>
      </c>
      <c r="H206" s="386">
        <v>5</v>
      </c>
      <c r="I206" s="386"/>
      <c r="J206" s="384"/>
      <c r="K206" s="384"/>
      <c r="L206" s="384"/>
      <c r="M206" s="384"/>
      <c r="N206" s="230"/>
      <c r="O206" s="228" t="s">
        <v>616</v>
      </c>
      <c r="P206" s="230"/>
      <c r="Q206" s="230"/>
      <c r="R206" s="230"/>
      <c r="S206" s="230"/>
      <c r="T206" s="231"/>
      <c r="U206" s="384"/>
      <c r="V206" s="384"/>
      <c r="W206" s="384"/>
      <c r="X206" s="384"/>
      <c r="Y206" s="239"/>
      <c r="Z206" s="228" t="s">
        <v>616</v>
      </c>
      <c r="AE206" s="184"/>
      <c r="AF206" s="184"/>
    </row>
    <row r="207" spans="1:32" s="1" customFormat="1" ht="19.5" customHeight="1" x14ac:dyDescent="0.3">
      <c r="A207" s="369"/>
      <c r="B207" s="396"/>
      <c r="C207" s="376"/>
      <c r="D207" s="386" t="s">
        <v>60</v>
      </c>
      <c r="E207" s="386" t="s">
        <v>295</v>
      </c>
      <c r="F207" s="384">
        <v>2</v>
      </c>
      <c r="G207" s="384" t="s">
        <v>35</v>
      </c>
      <c r="H207" s="386">
        <v>13</v>
      </c>
      <c r="I207" s="386"/>
      <c r="J207" s="384">
        <v>7</v>
      </c>
      <c r="K207" s="384"/>
      <c r="L207" s="384"/>
      <c r="M207" s="384"/>
      <c r="N207" s="230"/>
      <c r="O207" s="228" t="s">
        <v>616</v>
      </c>
      <c r="P207" s="230"/>
      <c r="Q207" s="230"/>
      <c r="R207" s="230"/>
      <c r="S207" s="230"/>
      <c r="T207" s="231"/>
      <c r="U207" s="384"/>
      <c r="V207" s="384"/>
      <c r="W207" s="384"/>
      <c r="X207" s="384"/>
      <c r="Y207" s="239"/>
      <c r="Z207" s="228" t="s">
        <v>616</v>
      </c>
      <c r="AE207" s="184"/>
      <c r="AF207" s="184"/>
    </row>
    <row r="208" spans="1:32" s="1" customFormat="1" ht="19.5" customHeight="1" x14ac:dyDescent="0.3">
      <c r="A208" s="369"/>
      <c r="B208" s="396"/>
      <c r="C208" s="376"/>
      <c r="D208" s="225" t="s">
        <v>114</v>
      </c>
      <c r="E208" s="384" t="s">
        <v>296</v>
      </c>
      <c r="F208" s="384">
        <v>2</v>
      </c>
      <c r="G208" s="386" t="s">
        <v>35</v>
      </c>
      <c r="H208" s="386">
        <v>6</v>
      </c>
      <c r="I208" s="386"/>
      <c r="J208" s="384"/>
      <c r="K208" s="384"/>
      <c r="L208" s="384"/>
      <c r="M208" s="384"/>
      <c r="N208" s="230"/>
      <c r="O208" s="228" t="s">
        <v>616</v>
      </c>
      <c r="P208" s="230"/>
      <c r="Q208" s="230"/>
      <c r="R208" s="230"/>
      <c r="S208" s="230"/>
      <c r="T208" s="231"/>
      <c r="U208" s="384"/>
      <c r="V208" s="384"/>
      <c r="W208" s="384"/>
      <c r="X208" s="384"/>
      <c r="Y208" s="239"/>
      <c r="Z208" s="228" t="s">
        <v>616</v>
      </c>
      <c r="AE208" s="184"/>
      <c r="AF208" s="184"/>
    </row>
    <row r="209" spans="1:32" s="1" customFormat="1" ht="19.5" customHeight="1" x14ac:dyDescent="0.3">
      <c r="A209" s="369"/>
      <c r="B209" s="396"/>
      <c r="C209" s="376"/>
      <c r="D209" s="225" t="s">
        <v>46</v>
      </c>
      <c r="E209" s="386" t="s">
        <v>301</v>
      </c>
      <c r="F209" s="384">
        <v>2</v>
      </c>
      <c r="G209" s="386" t="s">
        <v>35</v>
      </c>
      <c r="H209" s="386">
        <v>7</v>
      </c>
      <c r="I209" s="386"/>
      <c r="J209" s="384"/>
      <c r="K209" s="384"/>
      <c r="L209" s="384"/>
      <c r="M209" s="384"/>
      <c r="N209" s="230"/>
      <c r="O209" s="228" t="s">
        <v>616</v>
      </c>
      <c r="P209" s="230"/>
      <c r="Q209" s="230"/>
      <c r="R209" s="230"/>
      <c r="S209" s="230"/>
      <c r="T209" s="231"/>
      <c r="U209" s="384"/>
      <c r="V209" s="384"/>
      <c r="W209" s="384"/>
      <c r="X209" s="384"/>
      <c r="Y209" s="239"/>
      <c r="Z209" s="228" t="s">
        <v>616</v>
      </c>
      <c r="AE209" s="184"/>
      <c r="AF209" s="184"/>
    </row>
    <row r="210" spans="1:32" s="1" customFormat="1" ht="19.5" customHeight="1" x14ac:dyDescent="0.3">
      <c r="A210" s="369"/>
      <c r="B210" s="396"/>
      <c r="C210" s="376"/>
      <c r="D210" s="386" t="s">
        <v>81</v>
      </c>
      <c r="E210" s="386" t="s">
        <v>304</v>
      </c>
      <c r="F210" s="384">
        <v>2</v>
      </c>
      <c r="G210" s="386" t="s">
        <v>35</v>
      </c>
      <c r="H210" s="386">
        <v>18</v>
      </c>
      <c r="I210" s="386"/>
      <c r="J210" s="384">
        <v>7</v>
      </c>
      <c r="K210" s="384"/>
      <c r="L210" s="384"/>
      <c r="M210" s="384"/>
      <c r="N210" s="230"/>
      <c r="O210" s="228" t="s">
        <v>616</v>
      </c>
      <c r="P210" s="230"/>
      <c r="Q210" s="230"/>
      <c r="R210" s="230"/>
      <c r="S210" s="230"/>
      <c r="T210" s="231"/>
      <c r="U210" s="384"/>
      <c r="V210" s="384"/>
      <c r="W210" s="384"/>
      <c r="X210" s="384"/>
      <c r="Y210" s="239"/>
      <c r="Z210" s="228" t="s">
        <v>616</v>
      </c>
      <c r="AE210" s="184"/>
      <c r="AF210" s="184"/>
    </row>
    <row r="211" spans="1:32" s="1" customFormat="1" ht="19.5" customHeight="1" x14ac:dyDescent="0.3">
      <c r="A211" s="369"/>
      <c r="B211" s="396"/>
      <c r="C211" s="376"/>
      <c r="D211" s="225" t="s">
        <v>52</v>
      </c>
      <c r="E211" s="386" t="s">
        <v>300</v>
      </c>
      <c r="F211" s="384">
        <v>2</v>
      </c>
      <c r="G211" s="386" t="s">
        <v>35</v>
      </c>
      <c r="H211" s="386">
        <v>25</v>
      </c>
      <c r="I211" s="386">
        <v>14</v>
      </c>
      <c r="J211" s="384">
        <v>7</v>
      </c>
      <c r="K211" s="384"/>
      <c r="L211" s="384"/>
      <c r="M211" s="384">
        <v>4</v>
      </c>
      <c r="N211" s="384"/>
      <c r="O211" s="228" t="s">
        <v>616</v>
      </c>
      <c r="P211" s="384"/>
      <c r="Q211" s="384"/>
      <c r="R211" s="384"/>
      <c r="S211" s="384"/>
      <c r="T211" s="384"/>
      <c r="U211" s="384"/>
      <c r="V211" s="384"/>
      <c r="W211" s="386"/>
      <c r="X211" s="231"/>
      <c r="Y211" s="239">
        <v>0.88</v>
      </c>
      <c r="Z211" s="228" t="s">
        <v>616</v>
      </c>
      <c r="AE211" s="184"/>
      <c r="AF211" s="184"/>
    </row>
    <row r="212" spans="1:32" s="1" customFormat="1" ht="19.5" customHeight="1" x14ac:dyDescent="0.3">
      <c r="A212" s="369"/>
      <c r="B212" s="396"/>
      <c r="C212" s="376"/>
      <c r="D212" s="225" t="s">
        <v>52</v>
      </c>
      <c r="E212" s="386" t="s">
        <v>319</v>
      </c>
      <c r="F212" s="384">
        <v>2</v>
      </c>
      <c r="G212" s="386" t="s">
        <v>35</v>
      </c>
      <c r="H212" s="386">
        <v>25</v>
      </c>
      <c r="I212" s="386"/>
      <c r="J212" s="384">
        <v>7</v>
      </c>
      <c r="K212" s="384"/>
      <c r="L212" s="384"/>
      <c r="M212" s="384"/>
      <c r="N212" s="230"/>
      <c r="O212" s="228" t="s">
        <v>616</v>
      </c>
      <c r="P212" s="230"/>
      <c r="Q212" s="230"/>
      <c r="R212" s="230"/>
      <c r="S212" s="230"/>
      <c r="T212" s="231"/>
      <c r="U212" s="384"/>
      <c r="V212" s="384"/>
      <c r="W212" s="384"/>
      <c r="X212" s="384"/>
      <c r="Y212" s="239">
        <v>0.28000000000000003</v>
      </c>
      <c r="Z212" s="228" t="s">
        <v>616</v>
      </c>
      <c r="AE212" s="184"/>
      <c r="AF212" s="184"/>
    </row>
    <row r="213" spans="1:32" s="1" customFormat="1" ht="19.5" customHeight="1" x14ac:dyDescent="0.3">
      <c r="A213" s="369"/>
      <c r="B213" s="396"/>
      <c r="C213" s="376"/>
      <c r="D213" s="225" t="s">
        <v>52</v>
      </c>
      <c r="E213" s="386" t="s">
        <v>302</v>
      </c>
      <c r="F213" s="384">
        <v>2</v>
      </c>
      <c r="G213" s="386" t="s">
        <v>35</v>
      </c>
      <c r="H213" s="386">
        <v>29</v>
      </c>
      <c r="I213" s="386"/>
      <c r="J213" s="384">
        <v>7</v>
      </c>
      <c r="K213" s="384"/>
      <c r="L213" s="384"/>
      <c r="M213" s="384"/>
      <c r="N213" s="230"/>
      <c r="O213" s="228" t="s">
        <v>616</v>
      </c>
      <c r="P213" s="230"/>
      <c r="Q213" s="230"/>
      <c r="R213" s="230"/>
      <c r="S213" s="230"/>
      <c r="T213" s="231"/>
      <c r="U213" s="384"/>
      <c r="V213" s="384"/>
      <c r="W213" s="384"/>
      <c r="X213" s="384"/>
      <c r="Y213" s="239">
        <v>0.28000000000000003</v>
      </c>
      <c r="Z213" s="228" t="s">
        <v>616</v>
      </c>
      <c r="AE213" s="184"/>
      <c r="AF213" s="184"/>
    </row>
    <row r="214" spans="1:32" s="1" customFormat="1" ht="19.5" customHeight="1" x14ac:dyDescent="0.3">
      <c r="A214" s="369"/>
      <c r="B214" s="396"/>
      <c r="C214" s="376"/>
      <c r="D214" s="225" t="s">
        <v>52</v>
      </c>
      <c r="E214" s="386" t="s">
        <v>320</v>
      </c>
      <c r="F214" s="384">
        <v>2</v>
      </c>
      <c r="G214" s="386" t="s">
        <v>35</v>
      </c>
      <c r="H214" s="386">
        <v>29</v>
      </c>
      <c r="I214" s="386"/>
      <c r="J214" s="384">
        <v>7</v>
      </c>
      <c r="K214" s="384"/>
      <c r="L214" s="384"/>
      <c r="M214" s="384"/>
      <c r="N214" s="230"/>
      <c r="O214" s="228" t="s">
        <v>616</v>
      </c>
      <c r="P214" s="230"/>
      <c r="Q214" s="230"/>
      <c r="R214" s="230"/>
      <c r="S214" s="230"/>
      <c r="T214" s="231"/>
      <c r="U214" s="384"/>
      <c r="V214" s="384"/>
      <c r="W214" s="384"/>
      <c r="X214" s="384"/>
      <c r="Y214" s="239">
        <v>0.28000000000000003</v>
      </c>
      <c r="Z214" s="228" t="s">
        <v>616</v>
      </c>
      <c r="AE214" s="184"/>
      <c r="AF214" s="184"/>
    </row>
    <row r="215" spans="1:32" s="1" customFormat="1" ht="19.5" customHeight="1" x14ac:dyDescent="0.3">
      <c r="A215" s="369"/>
      <c r="B215" s="396"/>
      <c r="C215" s="376"/>
      <c r="D215" s="225" t="s">
        <v>52</v>
      </c>
      <c r="E215" s="386" t="s">
        <v>303</v>
      </c>
      <c r="F215" s="384">
        <v>2</v>
      </c>
      <c r="G215" s="386" t="s">
        <v>35</v>
      </c>
      <c r="H215" s="386">
        <v>30</v>
      </c>
      <c r="I215" s="386">
        <v>14</v>
      </c>
      <c r="J215" s="384">
        <v>7</v>
      </c>
      <c r="K215" s="384"/>
      <c r="L215" s="384"/>
      <c r="M215" s="384"/>
      <c r="N215" s="230"/>
      <c r="O215" s="228" t="s">
        <v>616</v>
      </c>
      <c r="P215" s="230"/>
      <c r="Q215" s="230"/>
      <c r="R215" s="230"/>
      <c r="S215" s="230"/>
      <c r="T215" s="231"/>
      <c r="U215" s="384"/>
      <c r="V215" s="384"/>
      <c r="W215" s="384"/>
      <c r="X215" s="384"/>
      <c r="Y215" s="239"/>
      <c r="Z215" s="228" t="s">
        <v>616</v>
      </c>
      <c r="AE215" s="184"/>
      <c r="AF215" s="184"/>
    </row>
    <row r="216" spans="1:32" s="1" customFormat="1" ht="19.5" customHeight="1" x14ac:dyDescent="0.3">
      <c r="A216" s="369"/>
      <c r="B216" s="396"/>
      <c r="C216" s="376"/>
      <c r="D216" s="225" t="s">
        <v>52</v>
      </c>
      <c r="E216" s="386" t="s">
        <v>321</v>
      </c>
      <c r="F216" s="384">
        <v>2</v>
      </c>
      <c r="G216" s="386" t="s">
        <v>35</v>
      </c>
      <c r="H216" s="386">
        <v>30</v>
      </c>
      <c r="I216" s="386"/>
      <c r="J216" s="384">
        <v>7</v>
      </c>
      <c r="K216" s="384"/>
      <c r="L216" s="384"/>
      <c r="M216" s="384"/>
      <c r="N216" s="230"/>
      <c r="O216" s="228" t="s">
        <v>616</v>
      </c>
      <c r="P216" s="230"/>
      <c r="Q216" s="230"/>
      <c r="R216" s="230"/>
      <c r="S216" s="230"/>
      <c r="T216" s="231"/>
      <c r="U216" s="384"/>
      <c r="V216" s="384"/>
      <c r="W216" s="384"/>
      <c r="X216" s="384"/>
      <c r="Y216" s="239"/>
      <c r="Z216" s="228" t="s">
        <v>616</v>
      </c>
      <c r="AE216" s="184"/>
      <c r="AF216" s="184"/>
    </row>
    <row r="217" spans="1:32" s="1" customFormat="1" ht="28.5" customHeight="1" x14ac:dyDescent="0.25">
      <c r="A217" s="369"/>
      <c r="B217" s="396"/>
      <c r="C217" s="376"/>
      <c r="D217" s="384" t="s">
        <v>62</v>
      </c>
      <c r="E217" s="384" t="s">
        <v>305</v>
      </c>
      <c r="F217" s="384">
        <v>2</v>
      </c>
      <c r="G217" s="384" t="s">
        <v>32</v>
      </c>
      <c r="H217" s="386">
        <v>5</v>
      </c>
      <c r="I217" s="386">
        <v>14</v>
      </c>
      <c r="J217" s="384"/>
      <c r="K217" s="384"/>
      <c r="L217" s="384"/>
      <c r="M217" s="384"/>
      <c r="N217" s="384"/>
      <c r="O217" s="384"/>
      <c r="P217" s="384"/>
      <c r="Q217" s="384"/>
      <c r="R217" s="384"/>
      <c r="S217" s="384"/>
      <c r="T217" s="384"/>
      <c r="U217" s="384"/>
      <c r="V217" s="384"/>
      <c r="W217" s="384"/>
      <c r="X217" s="384"/>
      <c r="Y217" s="232"/>
      <c r="Z217" s="228" t="s">
        <v>603</v>
      </c>
      <c r="AE217" s="184"/>
      <c r="AF217" s="184"/>
    </row>
    <row r="218" spans="1:32" s="1" customFormat="1" ht="28.5" customHeight="1" x14ac:dyDescent="0.25">
      <c r="A218" s="369"/>
      <c r="B218" s="396"/>
      <c r="C218" s="376"/>
      <c r="D218" s="386" t="s">
        <v>210</v>
      </c>
      <c r="E218" s="386" t="s">
        <v>323</v>
      </c>
      <c r="F218" s="384">
        <v>2</v>
      </c>
      <c r="G218" s="384" t="s">
        <v>32</v>
      </c>
      <c r="H218" s="386">
        <v>3</v>
      </c>
      <c r="I218" s="386"/>
      <c r="J218" s="384"/>
      <c r="K218" s="384"/>
      <c r="L218" s="384"/>
      <c r="M218" s="384"/>
      <c r="N218" s="384"/>
      <c r="O218" s="384"/>
      <c r="P218" s="384"/>
      <c r="Q218" s="384"/>
      <c r="R218" s="384"/>
      <c r="S218" s="384"/>
      <c r="T218" s="384"/>
      <c r="U218" s="384"/>
      <c r="V218" s="384"/>
      <c r="W218" s="384"/>
      <c r="X218" s="384"/>
      <c r="Y218" s="232"/>
      <c r="Z218" s="228" t="s">
        <v>603</v>
      </c>
      <c r="AE218" s="184"/>
      <c r="AF218" s="184"/>
    </row>
    <row r="219" spans="1:32" s="1" customFormat="1" ht="28.5" customHeight="1" x14ac:dyDescent="0.25">
      <c r="A219" s="369"/>
      <c r="B219" s="396"/>
      <c r="C219" s="376"/>
      <c r="D219" s="384" t="s">
        <v>170</v>
      </c>
      <c r="E219" s="384" t="s">
        <v>306</v>
      </c>
      <c r="F219" s="384">
        <v>2</v>
      </c>
      <c r="G219" s="384" t="s">
        <v>32</v>
      </c>
      <c r="H219" s="386">
        <v>3</v>
      </c>
      <c r="I219" s="386"/>
      <c r="J219" s="384"/>
      <c r="K219" s="384"/>
      <c r="L219" s="384"/>
      <c r="M219" s="384"/>
      <c r="N219" s="384"/>
      <c r="O219" s="384"/>
      <c r="P219" s="384"/>
      <c r="Q219" s="384"/>
      <c r="R219" s="384"/>
      <c r="S219" s="384"/>
      <c r="T219" s="384"/>
      <c r="U219" s="384"/>
      <c r="V219" s="384"/>
      <c r="W219" s="384"/>
      <c r="X219" s="384"/>
      <c r="Y219" s="232"/>
      <c r="Z219" s="228" t="s">
        <v>603</v>
      </c>
      <c r="AE219" s="184"/>
      <c r="AF219" s="184"/>
    </row>
    <row r="220" spans="1:32" s="1" customFormat="1" ht="28.5" customHeight="1" x14ac:dyDescent="0.25">
      <c r="A220" s="369"/>
      <c r="B220" s="396"/>
      <c r="C220" s="376"/>
      <c r="D220" s="384" t="s">
        <v>61</v>
      </c>
      <c r="E220" s="384" t="s">
        <v>307</v>
      </c>
      <c r="F220" s="384">
        <v>2</v>
      </c>
      <c r="G220" s="384" t="s">
        <v>32</v>
      </c>
      <c r="H220" s="386">
        <v>8</v>
      </c>
      <c r="I220" s="386"/>
      <c r="J220" s="384"/>
      <c r="K220" s="384"/>
      <c r="L220" s="384"/>
      <c r="M220" s="384"/>
      <c r="N220" s="384"/>
      <c r="O220" s="384"/>
      <c r="P220" s="384"/>
      <c r="Q220" s="384"/>
      <c r="R220" s="384"/>
      <c r="S220" s="384"/>
      <c r="T220" s="384"/>
      <c r="U220" s="384"/>
      <c r="V220" s="384"/>
      <c r="W220" s="384"/>
      <c r="X220" s="384"/>
      <c r="Y220" s="232"/>
      <c r="Z220" s="228" t="s">
        <v>603</v>
      </c>
      <c r="AE220" s="184"/>
      <c r="AF220" s="184"/>
    </row>
    <row r="221" spans="1:32" s="1" customFormat="1" ht="28.5" customHeight="1" x14ac:dyDescent="0.25">
      <c r="A221" s="369"/>
      <c r="B221" s="396"/>
      <c r="C221" s="376"/>
      <c r="D221" s="225" t="s">
        <v>44</v>
      </c>
      <c r="E221" s="386" t="s">
        <v>308</v>
      </c>
      <c r="F221" s="384">
        <v>2</v>
      </c>
      <c r="G221" s="384" t="s">
        <v>32</v>
      </c>
      <c r="H221" s="386">
        <v>3</v>
      </c>
      <c r="I221" s="386"/>
      <c r="J221" s="384"/>
      <c r="K221" s="384"/>
      <c r="L221" s="384"/>
      <c r="M221" s="384"/>
      <c r="N221" s="384"/>
      <c r="O221" s="384"/>
      <c r="P221" s="384"/>
      <c r="Q221" s="384"/>
      <c r="R221" s="384"/>
      <c r="S221" s="384"/>
      <c r="T221" s="384"/>
      <c r="U221" s="384"/>
      <c r="V221" s="384"/>
      <c r="W221" s="384"/>
      <c r="X221" s="384"/>
      <c r="Y221" s="232"/>
      <c r="Z221" s="228" t="s">
        <v>603</v>
      </c>
      <c r="AE221" s="184"/>
      <c r="AF221" s="184"/>
    </row>
    <row r="222" spans="1:32" s="1" customFormat="1" ht="28.5" customHeight="1" x14ac:dyDescent="0.25">
      <c r="A222" s="369"/>
      <c r="B222" s="396"/>
      <c r="C222" s="376"/>
      <c r="D222" s="225" t="s">
        <v>43</v>
      </c>
      <c r="E222" s="386" t="s">
        <v>309</v>
      </c>
      <c r="F222" s="384">
        <v>2</v>
      </c>
      <c r="G222" s="384" t="s">
        <v>32</v>
      </c>
      <c r="H222" s="386">
        <v>5</v>
      </c>
      <c r="I222" s="386"/>
      <c r="J222" s="384"/>
      <c r="K222" s="384"/>
      <c r="L222" s="384"/>
      <c r="M222" s="384"/>
      <c r="N222" s="384"/>
      <c r="O222" s="384"/>
      <c r="P222" s="384"/>
      <c r="Q222" s="384"/>
      <c r="R222" s="384"/>
      <c r="S222" s="384"/>
      <c r="T222" s="384"/>
      <c r="U222" s="384"/>
      <c r="V222" s="384"/>
      <c r="W222" s="384"/>
      <c r="X222" s="384"/>
      <c r="Y222" s="232"/>
      <c r="Z222" s="228" t="s">
        <v>603</v>
      </c>
      <c r="AE222" s="184"/>
      <c r="AF222" s="184"/>
    </row>
    <row r="223" spans="1:32" s="1" customFormat="1" ht="28.5" customHeight="1" x14ac:dyDescent="0.25">
      <c r="A223" s="369"/>
      <c r="B223" s="396"/>
      <c r="C223" s="376"/>
      <c r="D223" s="386" t="s">
        <v>60</v>
      </c>
      <c r="E223" s="386" t="s">
        <v>310</v>
      </c>
      <c r="F223" s="384">
        <v>2</v>
      </c>
      <c r="G223" s="384" t="s">
        <v>32</v>
      </c>
      <c r="H223" s="386">
        <v>10</v>
      </c>
      <c r="I223" s="386"/>
      <c r="J223" s="384"/>
      <c r="K223" s="384"/>
      <c r="L223" s="384"/>
      <c r="M223" s="384"/>
      <c r="N223" s="384"/>
      <c r="O223" s="384"/>
      <c r="P223" s="384"/>
      <c r="Q223" s="384"/>
      <c r="R223" s="384"/>
      <c r="S223" s="384"/>
      <c r="T223" s="384"/>
      <c r="U223" s="384"/>
      <c r="V223" s="384"/>
      <c r="W223" s="384"/>
      <c r="X223" s="384"/>
      <c r="Y223" s="232"/>
      <c r="Z223" s="228" t="s">
        <v>603</v>
      </c>
      <c r="AE223" s="184"/>
      <c r="AF223" s="184"/>
    </row>
    <row r="224" spans="1:32" s="1" customFormat="1" ht="28.5" customHeight="1" x14ac:dyDescent="0.25">
      <c r="A224" s="369"/>
      <c r="B224" s="396"/>
      <c r="C224" s="376"/>
      <c r="D224" s="225" t="s">
        <v>114</v>
      </c>
      <c r="E224" s="384" t="s">
        <v>312</v>
      </c>
      <c r="F224" s="384">
        <v>2</v>
      </c>
      <c r="G224" s="384" t="s">
        <v>32</v>
      </c>
      <c r="H224" s="386">
        <v>5</v>
      </c>
      <c r="I224" s="386"/>
      <c r="J224" s="384"/>
      <c r="K224" s="384"/>
      <c r="L224" s="384"/>
      <c r="M224" s="384"/>
      <c r="N224" s="384"/>
      <c r="O224" s="384"/>
      <c r="P224" s="384"/>
      <c r="Q224" s="384"/>
      <c r="R224" s="384"/>
      <c r="S224" s="384"/>
      <c r="T224" s="384"/>
      <c r="U224" s="384"/>
      <c r="V224" s="384"/>
      <c r="W224" s="384"/>
      <c r="X224" s="384"/>
      <c r="Y224" s="232"/>
      <c r="Z224" s="228" t="s">
        <v>603</v>
      </c>
      <c r="AE224" s="184"/>
      <c r="AF224" s="184"/>
    </row>
    <row r="225" spans="1:32" s="1" customFormat="1" ht="28.5" customHeight="1" x14ac:dyDescent="0.25">
      <c r="A225" s="369"/>
      <c r="B225" s="396"/>
      <c r="C225" s="376"/>
      <c r="D225" s="225" t="s">
        <v>46</v>
      </c>
      <c r="E225" s="386" t="s">
        <v>313</v>
      </c>
      <c r="F225" s="384">
        <v>2</v>
      </c>
      <c r="G225" s="384" t="s">
        <v>32</v>
      </c>
      <c r="H225" s="386">
        <v>10</v>
      </c>
      <c r="I225" s="386"/>
      <c r="J225" s="384"/>
      <c r="K225" s="384"/>
      <c r="L225" s="384"/>
      <c r="M225" s="384"/>
      <c r="N225" s="384"/>
      <c r="O225" s="384"/>
      <c r="P225" s="384"/>
      <c r="Q225" s="384"/>
      <c r="R225" s="384"/>
      <c r="S225" s="384"/>
      <c r="T225" s="384"/>
      <c r="U225" s="384"/>
      <c r="V225" s="384"/>
      <c r="W225" s="384"/>
      <c r="X225" s="384"/>
      <c r="Y225" s="232"/>
      <c r="Z225" s="228" t="s">
        <v>603</v>
      </c>
      <c r="AE225" s="184"/>
      <c r="AF225" s="184"/>
    </row>
    <row r="226" spans="1:32" s="1" customFormat="1" ht="28.5" customHeight="1" x14ac:dyDescent="0.25">
      <c r="A226" s="369"/>
      <c r="B226" s="396"/>
      <c r="C226" s="376"/>
      <c r="D226" s="386" t="s">
        <v>60</v>
      </c>
      <c r="E226" s="386" t="s">
        <v>324</v>
      </c>
      <c r="F226" s="384">
        <v>2</v>
      </c>
      <c r="G226" s="384" t="s">
        <v>32</v>
      </c>
      <c r="H226" s="386">
        <v>21</v>
      </c>
      <c r="I226" s="386"/>
      <c r="J226" s="384"/>
      <c r="K226" s="384"/>
      <c r="L226" s="384"/>
      <c r="M226" s="384"/>
      <c r="N226" s="384"/>
      <c r="O226" s="384"/>
      <c r="P226" s="384"/>
      <c r="Q226" s="384"/>
      <c r="R226" s="384"/>
      <c r="S226" s="384"/>
      <c r="T226" s="384"/>
      <c r="U226" s="384"/>
      <c r="V226" s="384"/>
      <c r="W226" s="384"/>
      <c r="X226" s="384"/>
      <c r="Y226" s="232"/>
      <c r="Z226" s="228" t="s">
        <v>603</v>
      </c>
      <c r="AE226" s="184"/>
      <c r="AF226" s="184"/>
    </row>
    <row r="227" spans="1:32" s="1" customFormat="1" ht="28.5" customHeight="1" x14ac:dyDescent="0.25">
      <c r="A227" s="369"/>
      <c r="B227" s="396"/>
      <c r="C227" s="376"/>
      <c r="D227" s="386" t="s">
        <v>81</v>
      </c>
      <c r="E227" s="386" t="s">
        <v>311</v>
      </c>
      <c r="F227" s="384">
        <v>2</v>
      </c>
      <c r="G227" s="384" t="s">
        <v>32</v>
      </c>
      <c r="H227" s="386">
        <v>14</v>
      </c>
      <c r="I227" s="386"/>
      <c r="J227" s="384"/>
      <c r="K227" s="384"/>
      <c r="L227" s="384"/>
      <c r="M227" s="384"/>
      <c r="N227" s="384"/>
      <c r="O227" s="384"/>
      <c r="P227" s="384"/>
      <c r="Q227" s="384"/>
      <c r="R227" s="384"/>
      <c r="S227" s="384"/>
      <c r="T227" s="384"/>
      <c r="U227" s="384"/>
      <c r="V227" s="384"/>
      <c r="W227" s="384"/>
      <c r="X227" s="384"/>
      <c r="Y227" s="232"/>
      <c r="Z227" s="228" t="s">
        <v>603</v>
      </c>
      <c r="AE227" s="184"/>
      <c r="AF227" s="184"/>
    </row>
    <row r="228" spans="1:32" s="1" customFormat="1" ht="19.5" customHeight="1" x14ac:dyDescent="0.3">
      <c r="A228" s="369"/>
      <c r="B228" s="396"/>
      <c r="C228" s="376"/>
      <c r="D228" s="384" t="s">
        <v>62</v>
      </c>
      <c r="E228" s="384" t="s">
        <v>305</v>
      </c>
      <c r="F228" s="384">
        <v>2</v>
      </c>
      <c r="G228" s="384" t="s">
        <v>32</v>
      </c>
      <c r="H228" s="386">
        <v>5</v>
      </c>
      <c r="I228" s="386"/>
      <c r="J228" s="384">
        <v>7</v>
      </c>
      <c r="K228" s="384"/>
      <c r="L228" s="384"/>
      <c r="M228" s="384">
        <v>4</v>
      </c>
      <c r="N228" s="384"/>
      <c r="O228" s="384">
        <v>1.5</v>
      </c>
      <c r="P228" s="384"/>
      <c r="Q228" s="384"/>
      <c r="R228" s="384"/>
      <c r="S228" s="384"/>
      <c r="T228" s="384"/>
      <c r="U228" s="384"/>
      <c r="V228" s="384"/>
      <c r="W228" s="386"/>
      <c r="X228" s="231"/>
      <c r="Y228" s="239">
        <v>0.88</v>
      </c>
      <c r="Z228" s="228" t="s">
        <v>618</v>
      </c>
      <c r="AE228" s="184"/>
      <c r="AF228" s="184"/>
    </row>
    <row r="229" spans="1:32" s="1" customFormat="1" ht="19.5" customHeight="1" x14ac:dyDescent="0.3">
      <c r="A229" s="369"/>
      <c r="B229" s="396"/>
      <c r="C229" s="376"/>
      <c r="D229" s="386" t="s">
        <v>210</v>
      </c>
      <c r="E229" s="386" t="s">
        <v>323</v>
      </c>
      <c r="F229" s="384">
        <v>2</v>
      </c>
      <c r="G229" s="384" t="s">
        <v>32</v>
      </c>
      <c r="H229" s="386">
        <v>3</v>
      </c>
      <c r="I229" s="386"/>
      <c r="J229" s="384"/>
      <c r="K229" s="384"/>
      <c r="L229" s="384"/>
      <c r="M229" s="384"/>
      <c r="N229" s="230"/>
      <c r="O229" s="384"/>
      <c r="P229" s="230"/>
      <c r="Q229" s="230"/>
      <c r="R229" s="230"/>
      <c r="S229" s="230"/>
      <c r="T229" s="231"/>
      <c r="U229" s="384"/>
      <c r="V229" s="384"/>
      <c r="W229" s="384"/>
      <c r="X229" s="384"/>
      <c r="Y229" s="232"/>
      <c r="Z229" s="228" t="s">
        <v>618</v>
      </c>
      <c r="AE229" s="184"/>
      <c r="AF229" s="184"/>
    </row>
    <row r="230" spans="1:32" s="1" customFormat="1" ht="19.5" customHeight="1" x14ac:dyDescent="0.3">
      <c r="A230" s="369"/>
      <c r="B230" s="396"/>
      <c r="C230" s="376"/>
      <c r="D230" s="384" t="s">
        <v>170</v>
      </c>
      <c r="E230" s="384" t="s">
        <v>306</v>
      </c>
      <c r="F230" s="384">
        <v>2</v>
      </c>
      <c r="G230" s="384" t="s">
        <v>32</v>
      </c>
      <c r="H230" s="386">
        <v>3</v>
      </c>
      <c r="I230" s="386"/>
      <c r="J230" s="384"/>
      <c r="K230" s="384"/>
      <c r="L230" s="384"/>
      <c r="M230" s="384"/>
      <c r="N230" s="230"/>
      <c r="O230" s="384"/>
      <c r="P230" s="230"/>
      <c r="Q230" s="230"/>
      <c r="R230" s="230"/>
      <c r="S230" s="230"/>
      <c r="T230" s="231"/>
      <c r="U230" s="384"/>
      <c r="V230" s="384"/>
      <c r="W230" s="384"/>
      <c r="X230" s="384"/>
      <c r="Y230" s="232"/>
      <c r="Z230" s="228" t="s">
        <v>618</v>
      </c>
      <c r="AE230" s="184"/>
      <c r="AF230" s="184"/>
    </row>
    <row r="231" spans="1:32" s="1" customFormat="1" ht="19.5" customHeight="1" x14ac:dyDescent="0.3">
      <c r="A231" s="369"/>
      <c r="B231" s="396"/>
      <c r="C231" s="376"/>
      <c r="D231" s="384" t="s">
        <v>61</v>
      </c>
      <c r="E231" s="384" t="s">
        <v>307</v>
      </c>
      <c r="F231" s="384">
        <v>2</v>
      </c>
      <c r="G231" s="384" t="s">
        <v>32</v>
      </c>
      <c r="H231" s="386">
        <v>8</v>
      </c>
      <c r="I231" s="386"/>
      <c r="J231" s="384"/>
      <c r="K231" s="384"/>
      <c r="L231" s="384"/>
      <c r="M231" s="384"/>
      <c r="N231" s="230"/>
      <c r="O231" s="384"/>
      <c r="P231" s="230"/>
      <c r="Q231" s="230"/>
      <c r="R231" s="230"/>
      <c r="S231" s="230"/>
      <c r="T231" s="231"/>
      <c r="U231" s="384"/>
      <c r="V231" s="384"/>
      <c r="W231" s="384"/>
      <c r="X231" s="384"/>
      <c r="Y231" s="232"/>
      <c r="Z231" s="228" t="s">
        <v>618</v>
      </c>
      <c r="AE231" s="184"/>
      <c r="AF231" s="184"/>
    </row>
    <row r="232" spans="1:32" s="1" customFormat="1" ht="19.5" customHeight="1" x14ac:dyDescent="0.3">
      <c r="A232" s="369"/>
      <c r="B232" s="396"/>
      <c r="C232" s="376"/>
      <c r="D232" s="225" t="s">
        <v>44</v>
      </c>
      <c r="E232" s="386" t="s">
        <v>308</v>
      </c>
      <c r="F232" s="384">
        <v>2</v>
      </c>
      <c r="G232" s="384" t="s">
        <v>32</v>
      </c>
      <c r="H232" s="386">
        <v>3</v>
      </c>
      <c r="I232" s="386"/>
      <c r="J232" s="384"/>
      <c r="K232" s="384"/>
      <c r="L232" s="384"/>
      <c r="M232" s="384"/>
      <c r="N232" s="230"/>
      <c r="O232" s="384"/>
      <c r="P232" s="230"/>
      <c r="Q232" s="230"/>
      <c r="R232" s="230"/>
      <c r="S232" s="230"/>
      <c r="T232" s="231"/>
      <c r="U232" s="384"/>
      <c r="V232" s="384"/>
      <c r="W232" s="384"/>
      <c r="X232" s="384"/>
      <c r="Y232" s="232"/>
      <c r="Z232" s="228" t="s">
        <v>618</v>
      </c>
      <c r="AE232" s="184"/>
      <c r="AF232" s="184"/>
    </row>
    <row r="233" spans="1:32" s="1" customFormat="1" ht="19.5" customHeight="1" x14ac:dyDescent="0.3">
      <c r="A233" s="369"/>
      <c r="B233" s="396"/>
      <c r="C233" s="376"/>
      <c r="D233" s="225" t="s">
        <v>43</v>
      </c>
      <c r="E233" s="386" t="s">
        <v>309</v>
      </c>
      <c r="F233" s="384">
        <v>2</v>
      </c>
      <c r="G233" s="384" t="s">
        <v>32</v>
      </c>
      <c r="H233" s="386">
        <v>5</v>
      </c>
      <c r="I233" s="386"/>
      <c r="J233" s="384"/>
      <c r="K233" s="384"/>
      <c r="L233" s="384"/>
      <c r="M233" s="384"/>
      <c r="N233" s="230"/>
      <c r="O233" s="384"/>
      <c r="P233" s="230"/>
      <c r="Q233" s="230"/>
      <c r="R233" s="230"/>
      <c r="S233" s="230"/>
      <c r="T233" s="231"/>
      <c r="U233" s="384"/>
      <c r="V233" s="384"/>
      <c r="W233" s="384"/>
      <c r="X233" s="384"/>
      <c r="Y233" s="232"/>
      <c r="Z233" s="228" t="s">
        <v>618</v>
      </c>
      <c r="AE233" s="184"/>
      <c r="AF233" s="184"/>
    </row>
    <row r="234" spans="1:32" s="1" customFormat="1" ht="19.5" customHeight="1" x14ac:dyDescent="0.3">
      <c r="A234" s="369"/>
      <c r="B234" s="396"/>
      <c r="C234" s="376"/>
      <c r="D234" s="386" t="s">
        <v>60</v>
      </c>
      <c r="E234" s="386" t="s">
        <v>310</v>
      </c>
      <c r="F234" s="384">
        <v>2</v>
      </c>
      <c r="G234" s="384" t="s">
        <v>32</v>
      </c>
      <c r="H234" s="386">
        <v>10</v>
      </c>
      <c r="I234" s="386"/>
      <c r="J234" s="384">
        <v>7</v>
      </c>
      <c r="K234" s="384"/>
      <c r="L234" s="384"/>
      <c r="M234" s="384"/>
      <c r="N234" s="230"/>
      <c r="O234" s="230">
        <v>1.5</v>
      </c>
      <c r="P234" s="230"/>
      <c r="Q234" s="230"/>
      <c r="R234" s="230"/>
      <c r="S234" s="230"/>
      <c r="T234" s="231"/>
      <c r="U234" s="384"/>
      <c r="V234" s="384"/>
      <c r="W234" s="384"/>
      <c r="X234" s="384"/>
      <c r="Y234" s="239">
        <v>0.28000000000000003</v>
      </c>
      <c r="Z234" s="228" t="s">
        <v>618</v>
      </c>
      <c r="AE234" s="184"/>
      <c r="AF234" s="184"/>
    </row>
    <row r="235" spans="1:32" s="1" customFormat="1" ht="19.5" customHeight="1" x14ac:dyDescent="0.3">
      <c r="A235" s="369"/>
      <c r="B235" s="396"/>
      <c r="C235" s="376"/>
      <c r="D235" s="225" t="s">
        <v>114</v>
      </c>
      <c r="E235" s="384" t="s">
        <v>312</v>
      </c>
      <c r="F235" s="384">
        <v>2</v>
      </c>
      <c r="G235" s="384" t="s">
        <v>32</v>
      </c>
      <c r="H235" s="386">
        <v>5</v>
      </c>
      <c r="I235" s="386"/>
      <c r="J235" s="384"/>
      <c r="K235" s="384"/>
      <c r="L235" s="384"/>
      <c r="M235" s="384"/>
      <c r="N235" s="230"/>
      <c r="O235" s="384"/>
      <c r="P235" s="230"/>
      <c r="Q235" s="230"/>
      <c r="R235" s="230"/>
      <c r="S235" s="230"/>
      <c r="T235" s="231"/>
      <c r="U235" s="384"/>
      <c r="V235" s="384"/>
      <c r="W235" s="384"/>
      <c r="X235" s="384"/>
      <c r="Y235" s="232"/>
      <c r="Z235" s="228" t="s">
        <v>618</v>
      </c>
      <c r="AE235" s="184"/>
      <c r="AF235" s="184"/>
    </row>
    <row r="236" spans="1:32" s="1" customFormat="1" ht="19.5" customHeight="1" x14ac:dyDescent="0.3">
      <c r="A236" s="369"/>
      <c r="B236" s="396"/>
      <c r="C236" s="376"/>
      <c r="D236" s="225" t="s">
        <v>46</v>
      </c>
      <c r="E236" s="386" t="s">
        <v>313</v>
      </c>
      <c r="F236" s="384">
        <v>2</v>
      </c>
      <c r="G236" s="384" t="s">
        <v>32</v>
      </c>
      <c r="H236" s="386">
        <v>10</v>
      </c>
      <c r="I236" s="386"/>
      <c r="J236" s="384"/>
      <c r="K236" s="384"/>
      <c r="L236" s="384"/>
      <c r="M236" s="384"/>
      <c r="N236" s="230"/>
      <c r="O236" s="384"/>
      <c r="P236" s="230"/>
      <c r="Q236" s="230"/>
      <c r="R236" s="230"/>
      <c r="S236" s="230"/>
      <c r="T236" s="231"/>
      <c r="U236" s="384"/>
      <c r="V236" s="384"/>
      <c r="W236" s="384"/>
      <c r="X236" s="384"/>
      <c r="Y236" s="232"/>
      <c r="Z236" s="228" t="s">
        <v>618</v>
      </c>
      <c r="AE236" s="184"/>
      <c r="AF236" s="184"/>
    </row>
    <row r="237" spans="1:32" s="1" customFormat="1" ht="19.5" customHeight="1" x14ac:dyDescent="0.3">
      <c r="A237" s="369"/>
      <c r="B237" s="396"/>
      <c r="C237" s="376"/>
      <c r="D237" s="386" t="s">
        <v>60</v>
      </c>
      <c r="E237" s="386" t="s">
        <v>324</v>
      </c>
      <c r="F237" s="384">
        <v>2</v>
      </c>
      <c r="G237" s="384" t="s">
        <v>32</v>
      </c>
      <c r="H237" s="386">
        <v>21</v>
      </c>
      <c r="I237" s="386"/>
      <c r="J237" s="384">
        <v>7</v>
      </c>
      <c r="K237" s="384"/>
      <c r="L237" s="384"/>
      <c r="M237" s="384"/>
      <c r="N237" s="230"/>
      <c r="O237" s="230">
        <v>1.5</v>
      </c>
      <c r="P237" s="230"/>
      <c r="Q237" s="230"/>
      <c r="R237" s="230"/>
      <c r="S237" s="230"/>
      <c r="T237" s="231"/>
      <c r="U237" s="384"/>
      <c r="V237" s="384"/>
      <c r="W237" s="384"/>
      <c r="X237" s="384"/>
      <c r="Y237" s="239">
        <v>0.28000000000000003</v>
      </c>
      <c r="Z237" s="228" t="s">
        <v>618</v>
      </c>
      <c r="AE237" s="184"/>
      <c r="AF237" s="184"/>
    </row>
    <row r="238" spans="1:32" s="1" customFormat="1" ht="19.5" customHeight="1" x14ac:dyDescent="0.3">
      <c r="A238" s="369"/>
      <c r="B238" s="396"/>
      <c r="C238" s="376"/>
      <c r="D238" s="386" t="s">
        <v>81</v>
      </c>
      <c r="E238" s="386" t="s">
        <v>311</v>
      </c>
      <c r="F238" s="384">
        <v>2</v>
      </c>
      <c r="G238" s="384" t="s">
        <v>32</v>
      </c>
      <c r="H238" s="386">
        <v>14</v>
      </c>
      <c r="I238" s="386"/>
      <c r="J238" s="384">
        <v>7</v>
      </c>
      <c r="K238" s="384"/>
      <c r="L238" s="384"/>
      <c r="M238" s="384"/>
      <c r="N238" s="230"/>
      <c r="O238" s="230">
        <v>1.5</v>
      </c>
      <c r="P238" s="230"/>
      <c r="Q238" s="230"/>
      <c r="R238" s="230"/>
      <c r="S238" s="230"/>
      <c r="T238" s="231"/>
      <c r="U238" s="384"/>
      <c r="V238" s="384"/>
      <c r="W238" s="384"/>
      <c r="X238" s="384"/>
      <c r="Y238" s="239">
        <v>0.28000000000000003</v>
      </c>
      <c r="Z238" s="228" t="s">
        <v>618</v>
      </c>
      <c r="AE238" s="184"/>
      <c r="AF238" s="184"/>
    </row>
    <row r="239" spans="1:32" s="1" customFormat="1" ht="19.5" customHeight="1" x14ac:dyDescent="0.3">
      <c r="A239" s="369"/>
      <c r="B239" s="396"/>
      <c r="C239" s="376"/>
      <c r="D239" s="225" t="s">
        <v>41</v>
      </c>
      <c r="E239" s="384" t="s">
        <v>317</v>
      </c>
      <c r="F239" s="384">
        <v>2</v>
      </c>
      <c r="G239" s="384" t="s">
        <v>32</v>
      </c>
      <c r="H239" s="386">
        <v>4</v>
      </c>
      <c r="I239" s="386">
        <v>14</v>
      </c>
      <c r="J239" s="384"/>
      <c r="K239" s="384"/>
      <c r="L239" s="384"/>
      <c r="M239" s="384"/>
      <c r="N239" s="230"/>
      <c r="O239" s="230"/>
      <c r="P239" s="230"/>
      <c r="Q239" s="230"/>
      <c r="R239" s="230"/>
      <c r="S239" s="230"/>
      <c r="T239" s="231"/>
      <c r="U239" s="384"/>
      <c r="V239" s="384"/>
      <c r="W239" s="384"/>
      <c r="X239" s="384"/>
      <c r="Y239" s="239"/>
      <c r="Z239" s="228" t="s">
        <v>603</v>
      </c>
      <c r="AE239" s="184"/>
      <c r="AF239" s="184"/>
    </row>
    <row r="240" spans="1:32" s="1" customFormat="1" ht="19.5" customHeight="1" x14ac:dyDescent="0.3">
      <c r="A240" s="369"/>
      <c r="B240" s="396"/>
      <c r="C240" s="376"/>
      <c r="D240" s="384" t="s">
        <v>51</v>
      </c>
      <c r="E240" s="384" t="s">
        <v>314</v>
      </c>
      <c r="F240" s="384">
        <v>2</v>
      </c>
      <c r="G240" s="384" t="s">
        <v>32</v>
      </c>
      <c r="H240" s="386">
        <v>3</v>
      </c>
      <c r="I240" s="386"/>
      <c r="J240" s="384"/>
      <c r="K240" s="384"/>
      <c r="L240" s="384"/>
      <c r="M240" s="384"/>
      <c r="N240" s="230"/>
      <c r="O240" s="230"/>
      <c r="P240" s="230"/>
      <c r="Q240" s="230"/>
      <c r="R240" s="230"/>
      <c r="S240" s="230"/>
      <c r="T240" s="231"/>
      <c r="U240" s="384"/>
      <c r="V240" s="384"/>
      <c r="W240" s="384"/>
      <c r="X240" s="384"/>
      <c r="Y240" s="239"/>
      <c r="Z240" s="228" t="s">
        <v>603</v>
      </c>
      <c r="AE240" s="184"/>
      <c r="AF240" s="184"/>
    </row>
    <row r="241" spans="1:32" s="1" customFormat="1" ht="19.5" customHeight="1" x14ac:dyDescent="0.3">
      <c r="A241" s="369"/>
      <c r="B241" s="396"/>
      <c r="C241" s="376"/>
      <c r="D241" s="225" t="s">
        <v>52</v>
      </c>
      <c r="E241" s="386" t="s">
        <v>315</v>
      </c>
      <c r="F241" s="384">
        <v>2</v>
      </c>
      <c r="G241" s="384" t="s">
        <v>32</v>
      </c>
      <c r="H241" s="386">
        <v>21</v>
      </c>
      <c r="I241" s="386"/>
      <c r="J241" s="384"/>
      <c r="K241" s="384"/>
      <c r="L241" s="384"/>
      <c r="M241" s="384"/>
      <c r="N241" s="230"/>
      <c r="O241" s="230"/>
      <c r="P241" s="230"/>
      <c r="Q241" s="230"/>
      <c r="R241" s="230"/>
      <c r="S241" s="230"/>
      <c r="T241" s="231"/>
      <c r="U241" s="384"/>
      <c r="V241" s="384"/>
      <c r="W241" s="384"/>
      <c r="X241" s="384"/>
      <c r="Y241" s="239"/>
      <c r="Z241" s="228" t="s">
        <v>603</v>
      </c>
      <c r="AE241" s="184"/>
      <c r="AF241" s="184"/>
    </row>
    <row r="242" spans="1:32" s="1" customFormat="1" ht="19.5" customHeight="1" x14ac:dyDescent="0.3">
      <c r="A242" s="369"/>
      <c r="B242" s="396"/>
      <c r="C242" s="376"/>
      <c r="D242" s="225" t="s">
        <v>52</v>
      </c>
      <c r="E242" s="386" t="s">
        <v>316</v>
      </c>
      <c r="F242" s="384">
        <v>2</v>
      </c>
      <c r="G242" s="384" t="s">
        <v>32</v>
      </c>
      <c r="H242" s="386">
        <v>27</v>
      </c>
      <c r="I242" s="386"/>
      <c r="J242" s="384"/>
      <c r="K242" s="384"/>
      <c r="L242" s="384"/>
      <c r="M242" s="384"/>
      <c r="N242" s="230"/>
      <c r="O242" s="230"/>
      <c r="P242" s="230"/>
      <c r="Q242" s="230"/>
      <c r="R242" s="230"/>
      <c r="S242" s="230"/>
      <c r="T242" s="231"/>
      <c r="U242" s="384"/>
      <c r="V242" s="384"/>
      <c r="W242" s="384"/>
      <c r="X242" s="384"/>
      <c r="Y242" s="239"/>
      <c r="Z242" s="228" t="s">
        <v>603</v>
      </c>
      <c r="AE242" s="184"/>
      <c r="AF242" s="184"/>
    </row>
    <row r="243" spans="1:32" s="1" customFormat="1" ht="19.5" customHeight="1" x14ac:dyDescent="0.3">
      <c r="A243" s="369"/>
      <c r="B243" s="396"/>
      <c r="C243" s="376"/>
      <c r="D243" s="225" t="s">
        <v>41</v>
      </c>
      <c r="E243" s="384" t="s">
        <v>317</v>
      </c>
      <c r="F243" s="384">
        <v>2</v>
      </c>
      <c r="G243" s="384" t="s">
        <v>32</v>
      </c>
      <c r="H243" s="386">
        <v>4</v>
      </c>
      <c r="I243" s="386"/>
      <c r="J243" s="384">
        <v>7</v>
      </c>
      <c r="K243" s="384"/>
      <c r="L243" s="384"/>
      <c r="M243" s="384">
        <v>4</v>
      </c>
      <c r="N243" s="384"/>
      <c r="O243" s="384">
        <v>1.5</v>
      </c>
      <c r="P243" s="384"/>
      <c r="Q243" s="384"/>
      <c r="R243" s="384"/>
      <c r="S243" s="384"/>
      <c r="T243" s="384"/>
      <c r="U243" s="384"/>
      <c r="V243" s="384"/>
      <c r="W243" s="386"/>
      <c r="X243" s="231"/>
      <c r="Y243" s="239">
        <v>0.88</v>
      </c>
      <c r="Z243" s="228" t="s">
        <v>618</v>
      </c>
      <c r="AE243" s="184"/>
      <c r="AF243" s="184"/>
    </row>
    <row r="244" spans="1:32" s="1" customFormat="1" ht="19.5" customHeight="1" x14ac:dyDescent="0.3">
      <c r="A244" s="369"/>
      <c r="B244" s="396"/>
      <c r="C244" s="376"/>
      <c r="D244" s="384" t="s">
        <v>51</v>
      </c>
      <c r="E244" s="384" t="s">
        <v>314</v>
      </c>
      <c r="F244" s="384">
        <v>2</v>
      </c>
      <c r="G244" s="384" t="s">
        <v>32</v>
      </c>
      <c r="H244" s="386">
        <v>3</v>
      </c>
      <c r="I244" s="386"/>
      <c r="J244" s="384"/>
      <c r="K244" s="384"/>
      <c r="L244" s="384"/>
      <c r="M244" s="384"/>
      <c r="N244" s="230"/>
      <c r="O244" s="384"/>
      <c r="P244" s="230"/>
      <c r="Q244" s="230"/>
      <c r="R244" s="230"/>
      <c r="S244" s="230"/>
      <c r="T244" s="231"/>
      <c r="U244" s="384"/>
      <c r="V244" s="384"/>
      <c r="W244" s="384"/>
      <c r="X244" s="384"/>
      <c r="Y244" s="232"/>
      <c r="Z244" s="228" t="s">
        <v>618</v>
      </c>
      <c r="AE244" s="184"/>
      <c r="AF244" s="184"/>
    </row>
    <row r="245" spans="1:32" s="1" customFormat="1" ht="19.5" customHeight="1" x14ac:dyDescent="0.3">
      <c r="A245" s="369"/>
      <c r="B245" s="396"/>
      <c r="C245" s="376"/>
      <c r="D245" s="225" t="s">
        <v>52</v>
      </c>
      <c r="E245" s="386" t="s">
        <v>315</v>
      </c>
      <c r="F245" s="384">
        <v>2</v>
      </c>
      <c r="G245" s="384" t="s">
        <v>32</v>
      </c>
      <c r="H245" s="386">
        <v>21</v>
      </c>
      <c r="I245" s="386"/>
      <c r="J245" s="384"/>
      <c r="K245" s="384"/>
      <c r="L245" s="384"/>
      <c r="M245" s="384"/>
      <c r="N245" s="230"/>
      <c r="O245" s="384"/>
      <c r="P245" s="230"/>
      <c r="Q245" s="230"/>
      <c r="R245" s="230"/>
      <c r="S245" s="230"/>
      <c r="T245" s="231"/>
      <c r="U245" s="384"/>
      <c r="V245" s="384"/>
      <c r="W245" s="384"/>
      <c r="X245" s="384"/>
      <c r="Y245" s="232"/>
      <c r="Z245" s="228" t="s">
        <v>618</v>
      </c>
      <c r="AE245" s="184"/>
      <c r="AF245" s="184"/>
    </row>
    <row r="246" spans="1:32" s="1" customFormat="1" ht="19.5" customHeight="1" x14ac:dyDescent="0.3">
      <c r="A246" s="369"/>
      <c r="B246" s="396"/>
      <c r="C246" s="376"/>
      <c r="D246" s="225" t="s">
        <v>52</v>
      </c>
      <c r="E246" s="386" t="s">
        <v>316</v>
      </c>
      <c r="F246" s="384">
        <v>2</v>
      </c>
      <c r="G246" s="384" t="s">
        <v>32</v>
      </c>
      <c r="H246" s="386">
        <v>27</v>
      </c>
      <c r="I246" s="386"/>
      <c r="J246" s="384">
        <v>7</v>
      </c>
      <c r="K246" s="384"/>
      <c r="L246" s="384"/>
      <c r="M246" s="384"/>
      <c r="N246" s="230"/>
      <c r="O246" s="230">
        <v>1.5</v>
      </c>
      <c r="P246" s="230"/>
      <c r="Q246" s="230"/>
      <c r="R246" s="230"/>
      <c r="S246" s="230"/>
      <c r="T246" s="231"/>
      <c r="U246" s="384"/>
      <c r="V246" s="384"/>
      <c r="W246" s="384"/>
      <c r="X246" s="384"/>
      <c r="Y246" s="239">
        <v>0.28000000000000003</v>
      </c>
      <c r="Z246" s="228" t="s">
        <v>618</v>
      </c>
      <c r="AE246" s="184"/>
      <c r="AF246" s="184"/>
    </row>
    <row r="247" spans="1:32" s="1" customFormat="1" ht="19.5" customHeight="1" x14ac:dyDescent="0.3">
      <c r="A247" s="369"/>
      <c r="B247" s="395" t="s">
        <v>325</v>
      </c>
      <c r="C247" s="375"/>
      <c r="D247" s="225" t="s">
        <v>52</v>
      </c>
      <c r="E247" s="386" t="s">
        <v>547</v>
      </c>
      <c r="F247" s="384">
        <v>5</v>
      </c>
      <c r="G247" s="386" t="s">
        <v>35</v>
      </c>
      <c r="H247" s="386">
        <v>15</v>
      </c>
      <c r="I247" s="386"/>
      <c r="J247" s="384">
        <v>45</v>
      </c>
      <c r="K247" s="384"/>
      <c r="L247" s="384"/>
      <c r="M247" s="384">
        <v>15</v>
      </c>
      <c r="N247" s="230"/>
      <c r="O247" s="384">
        <v>3</v>
      </c>
      <c r="P247" s="230"/>
      <c r="Q247" s="230"/>
      <c r="R247" s="230"/>
      <c r="S247" s="230"/>
      <c r="T247" s="231"/>
      <c r="U247" s="384"/>
      <c r="V247" s="384"/>
      <c r="W247" s="384"/>
      <c r="X247" s="384"/>
      <c r="Y247" s="232">
        <v>2.1</v>
      </c>
      <c r="Z247" s="228" t="s">
        <v>620</v>
      </c>
      <c r="AE247" s="184"/>
      <c r="AF247" s="184"/>
    </row>
    <row r="248" spans="1:32" s="1" customFormat="1" ht="19.5" customHeight="1" x14ac:dyDescent="0.3">
      <c r="A248" s="369"/>
      <c r="B248" s="396"/>
      <c r="C248" s="376"/>
      <c r="D248" s="225" t="s">
        <v>52</v>
      </c>
      <c r="E248" s="386" t="s">
        <v>549</v>
      </c>
      <c r="F248" s="384">
        <v>5</v>
      </c>
      <c r="G248" s="386" t="s">
        <v>35</v>
      </c>
      <c r="H248" s="386">
        <v>15</v>
      </c>
      <c r="I248" s="386"/>
      <c r="J248" s="384">
        <v>45</v>
      </c>
      <c r="K248" s="384"/>
      <c r="L248" s="384"/>
      <c r="M248" s="384"/>
      <c r="N248" s="230"/>
      <c r="O248" s="384"/>
      <c r="P248" s="230"/>
      <c r="Q248" s="230"/>
      <c r="R248" s="230"/>
      <c r="S248" s="230"/>
      <c r="T248" s="231"/>
      <c r="U248" s="384"/>
      <c r="V248" s="384"/>
      <c r="W248" s="384"/>
      <c r="X248" s="384"/>
      <c r="Y248" s="232">
        <v>1.5</v>
      </c>
      <c r="Z248" s="228" t="s">
        <v>621</v>
      </c>
      <c r="AE248" s="184"/>
      <c r="AF248" s="184"/>
    </row>
    <row r="249" spans="1:32" s="1" customFormat="1" ht="19.5" customHeight="1" x14ac:dyDescent="0.3">
      <c r="A249" s="369"/>
      <c r="B249" s="396"/>
      <c r="C249" s="376"/>
      <c r="D249" s="225" t="s">
        <v>52</v>
      </c>
      <c r="E249" s="386" t="s">
        <v>551</v>
      </c>
      <c r="F249" s="384">
        <v>5</v>
      </c>
      <c r="G249" s="386" t="s">
        <v>35</v>
      </c>
      <c r="H249" s="386">
        <v>15</v>
      </c>
      <c r="I249" s="386"/>
      <c r="J249" s="384">
        <v>45</v>
      </c>
      <c r="K249" s="384"/>
      <c r="L249" s="384"/>
      <c r="M249" s="384"/>
      <c r="N249" s="230"/>
      <c r="O249" s="384">
        <v>3</v>
      </c>
      <c r="P249" s="230"/>
      <c r="Q249" s="230"/>
      <c r="R249" s="230"/>
      <c r="S249" s="230"/>
      <c r="T249" s="231"/>
      <c r="U249" s="384"/>
      <c r="V249" s="384"/>
      <c r="W249" s="384"/>
      <c r="X249" s="384"/>
      <c r="Y249" s="232">
        <v>1.6</v>
      </c>
      <c r="Z249" s="228" t="s">
        <v>620</v>
      </c>
      <c r="AE249" s="184"/>
      <c r="AF249" s="184"/>
    </row>
    <row r="250" spans="1:32" s="1" customFormat="1" ht="19.5" customHeight="1" x14ac:dyDescent="0.3">
      <c r="A250" s="369"/>
      <c r="B250" s="396"/>
      <c r="C250" s="376"/>
      <c r="D250" s="225" t="s">
        <v>52</v>
      </c>
      <c r="E250" s="386" t="s">
        <v>552</v>
      </c>
      <c r="F250" s="384">
        <v>5</v>
      </c>
      <c r="G250" s="386" t="s">
        <v>35</v>
      </c>
      <c r="H250" s="386">
        <v>14</v>
      </c>
      <c r="I250" s="386"/>
      <c r="J250" s="384">
        <v>45</v>
      </c>
      <c r="K250" s="384"/>
      <c r="L250" s="384"/>
      <c r="M250" s="384"/>
      <c r="N250" s="230"/>
      <c r="O250" s="384"/>
      <c r="P250" s="230"/>
      <c r="Q250" s="230"/>
      <c r="R250" s="230"/>
      <c r="S250" s="230"/>
      <c r="T250" s="231"/>
      <c r="U250" s="384"/>
      <c r="V250" s="384"/>
      <c r="W250" s="384"/>
      <c r="X250" s="384"/>
      <c r="Y250" s="232">
        <v>1.5</v>
      </c>
      <c r="Z250" s="228" t="s">
        <v>621</v>
      </c>
      <c r="AE250" s="184"/>
      <c r="AF250" s="184"/>
    </row>
    <row r="251" spans="1:32" s="1" customFormat="1" ht="19.5" customHeight="1" x14ac:dyDescent="0.3">
      <c r="A251" s="369"/>
      <c r="B251" s="396"/>
      <c r="C251" s="376"/>
      <c r="D251" s="386" t="s">
        <v>81</v>
      </c>
      <c r="E251" s="386" t="s">
        <v>553</v>
      </c>
      <c r="F251" s="384">
        <v>5</v>
      </c>
      <c r="G251" s="386" t="s">
        <v>35</v>
      </c>
      <c r="H251" s="386">
        <v>15</v>
      </c>
      <c r="I251" s="386"/>
      <c r="J251" s="384">
        <v>45</v>
      </c>
      <c r="K251" s="384"/>
      <c r="L251" s="384"/>
      <c r="M251" s="384"/>
      <c r="N251" s="230"/>
      <c r="O251" s="384">
        <v>3</v>
      </c>
      <c r="P251" s="230"/>
      <c r="Q251" s="230"/>
      <c r="R251" s="230"/>
      <c r="S251" s="230"/>
      <c r="T251" s="231"/>
      <c r="U251" s="384"/>
      <c r="V251" s="384"/>
      <c r="W251" s="384"/>
      <c r="X251" s="384"/>
      <c r="Y251" s="232">
        <v>1.6</v>
      </c>
      <c r="Z251" s="228" t="s">
        <v>622</v>
      </c>
      <c r="AE251" s="184"/>
      <c r="AF251" s="184"/>
    </row>
    <row r="252" spans="1:32" s="1" customFormat="1" ht="19.5" customHeight="1" x14ac:dyDescent="0.3">
      <c r="A252" s="369"/>
      <c r="B252" s="396"/>
      <c r="C252" s="376"/>
      <c r="D252" s="386" t="s">
        <v>81</v>
      </c>
      <c r="E252" s="386" t="s">
        <v>554</v>
      </c>
      <c r="F252" s="384">
        <v>5</v>
      </c>
      <c r="G252" s="386" t="s">
        <v>35</v>
      </c>
      <c r="H252" s="386">
        <v>15</v>
      </c>
      <c r="I252" s="386"/>
      <c r="J252" s="384">
        <v>45</v>
      </c>
      <c r="K252" s="384"/>
      <c r="L252" s="384"/>
      <c r="M252" s="384"/>
      <c r="N252" s="230"/>
      <c r="O252" s="384"/>
      <c r="P252" s="230"/>
      <c r="Q252" s="230"/>
      <c r="R252" s="230"/>
      <c r="S252" s="230"/>
      <c r="T252" s="231"/>
      <c r="U252" s="384"/>
      <c r="V252" s="384"/>
      <c r="W252" s="384"/>
      <c r="X252" s="384"/>
      <c r="Y252" s="232">
        <v>1.5</v>
      </c>
      <c r="Z252" s="228" t="s">
        <v>623</v>
      </c>
      <c r="AE252" s="184"/>
      <c r="AF252" s="184"/>
    </row>
    <row r="253" spans="1:32" s="1" customFormat="1" ht="19.5" customHeight="1" x14ac:dyDescent="0.3">
      <c r="A253" s="369"/>
      <c r="B253" s="396"/>
      <c r="C253" s="376"/>
      <c r="D253" s="384" t="s">
        <v>170</v>
      </c>
      <c r="E253" s="384" t="s">
        <v>556</v>
      </c>
      <c r="F253" s="384">
        <v>5</v>
      </c>
      <c r="G253" s="384" t="s">
        <v>35</v>
      </c>
      <c r="H253" s="386">
        <v>13</v>
      </c>
      <c r="I253" s="386"/>
      <c r="J253" s="384">
        <v>45</v>
      </c>
      <c r="K253" s="384"/>
      <c r="L253" s="384"/>
      <c r="M253" s="384"/>
      <c r="N253" s="230"/>
      <c r="O253" s="384">
        <v>3</v>
      </c>
      <c r="P253" s="230"/>
      <c r="Q253" s="230"/>
      <c r="R253" s="230"/>
      <c r="S253" s="230"/>
      <c r="T253" s="231"/>
      <c r="U253" s="384"/>
      <c r="V253" s="384"/>
      <c r="W253" s="384"/>
      <c r="X253" s="384"/>
      <c r="Y253" s="232">
        <v>1.6</v>
      </c>
      <c r="Z253" s="228" t="s">
        <v>639</v>
      </c>
      <c r="AE253" s="184"/>
      <c r="AF253" s="184"/>
    </row>
    <row r="254" spans="1:32" s="1" customFormat="1" ht="19.5" customHeight="1" x14ac:dyDescent="0.3">
      <c r="A254" s="369"/>
      <c r="B254" s="396"/>
      <c r="C254" s="376"/>
      <c r="D254" s="384" t="s">
        <v>170</v>
      </c>
      <c r="E254" s="384" t="s">
        <v>557</v>
      </c>
      <c r="F254" s="384">
        <v>5</v>
      </c>
      <c r="G254" s="384" t="s">
        <v>35</v>
      </c>
      <c r="H254" s="386">
        <v>12</v>
      </c>
      <c r="I254" s="386"/>
      <c r="J254" s="384">
        <v>45</v>
      </c>
      <c r="K254" s="384"/>
      <c r="L254" s="384"/>
      <c r="M254" s="384"/>
      <c r="N254" s="230"/>
      <c r="O254" s="384"/>
      <c r="P254" s="230"/>
      <c r="Q254" s="230"/>
      <c r="R254" s="230"/>
      <c r="S254" s="230"/>
      <c r="T254" s="231"/>
      <c r="U254" s="384"/>
      <c r="V254" s="384"/>
      <c r="W254" s="384"/>
      <c r="X254" s="384"/>
      <c r="Y254" s="232">
        <v>1.5</v>
      </c>
      <c r="Z254" s="228" t="s">
        <v>623</v>
      </c>
      <c r="AE254" s="184"/>
      <c r="AF254" s="184"/>
    </row>
    <row r="255" spans="1:32" s="1" customFormat="1" ht="19.5" customHeight="1" x14ac:dyDescent="0.3">
      <c r="A255" s="369"/>
      <c r="B255" s="396"/>
      <c r="C255" s="376"/>
      <c r="D255" s="384" t="s">
        <v>170</v>
      </c>
      <c r="E255" s="384" t="s">
        <v>558</v>
      </c>
      <c r="F255" s="384">
        <v>5</v>
      </c>
      <c r="G255" s="384" t="s">
        <v>35</v>
      </c>
      <c r="H255" s="386">
        <v>13</v>
      </c>
      <c r="I255" s="386"/>
      <c r="J255" s="384">
        <v>45</v>
      </c>
      <c r="K255" s="384"/>
      <c r="L255" s="384"/>
      <c r="M255" s="384"/>
      <c r="N255" s="230"/>
      <c r="O255" s="384">
        <v>3</v>
      </c>
      <c r="P255" s="230"/>
      <c r="Q255" s="230"/>
      <c r="R255" s="230"/>
      <c r="S255" s="230"/>
      <c r="T255" s="231"/>
      <c r="U255" s="384"/>
      <c r="V255" s="384"/>
      <c r="W255" s="384"/>
      <c r="X255" s="384"/>
      <c r="Y255" s="232">
        <v>1.6</v>
      </c>
      <c r="Z255" s="228" t="s">
        <v>639</v>
      </c>
      <c r="AE255" s="184"/>
      <c r="AF255" s="184">
        <v>12.9</v>
      </c>
    </row>
    <row r="256" spans="1:32" s="1" customFormat="1" ht="19.5" customHeight="1" x14ac:dyDescent="0.3">
      <c r="A256" s="369"/>
      <c r="B256" s="396"/>
      <c r="C256" s="376"/>
      <c r="D256" s="384" t="s">
        <v>170</v>
      </c>
      <c r="E256" s="384" t="s">
        <v>559</v>
      </c>
      <c r="F256" s="384">
        <v>5</v>
      </c>
      <c r="G256" s="384" t="s">
        <v>35</v>
      </c>
      <c r="H256" s="386">
        <v>12</v>
      </c>
      <c r="I256" s="386"/>
      <c r="J256" s="384">
        <v>45</v>
      </c>
      <c r="K256" s="384"/>
      <c r="L256" s="384"/>
      <c r="M256" s="384"/>
      <c r="N256" s="230"/>
      <c r="O256" s="384"/>
      <c r="P256" s="230"/>
      <c r="Q256" s="230"/>
      <c r="R256" s="230"/>
      <c r="S256" s="230"/>
      <c r="T256" s="231"/>
      <c r="U256" s="384"/>
      <c r="V256" s="384"/>
      <c r="W256" s="384"/>
      <c r="X256" s="384"/>
      <c r="Y256" s="232">
        <v>1.5</v>
      </c>
      <c r="Z256" s="228" t="s">
        <v>622</v>
      </c>
      <c r="AE256" s="184" t="s">
        <v>560</v>
      </c>
      <c r="AF256" s="184" t="e">
        <f>Y266+Y268+Y269+Y299+Y300+#REF!</f>
        <v>#REF!</v>
      </c>
    </row>
    <row r="257" spans="1:32" s="1" customFormat="1" ht="19.5" customHeight="1" x14ac:dyDescent="0.3">
      <c r="A257" s="369"/>
      <c r="B257" s="396"/>
      <c r="C257" s="376"/>
      <c r="D257" s="384" t="s">
        <v>61</v>
      </c>
      <c r="E257" s="384" t="s">
        <v>298</v>
      </c>
      <c r="F257" s="384">
        <v>5</v>
      </c>
      <c r="G257" s="386" t="s">
        <v>35</v>
      </c>
      <c r="H257" s="386">
        <v>14</v>
      </c>
      <c r="I257" s="386"/>
      <c r="J257" s="384">
        <v>45</v>
      </c>
      <c r="K257" s="384"/>
      <c r="L257" s="384"/>
      <c r="M257" s="384"/>
      <c r="N257" s="230"/>
      <c r="O257" s="384">
        <v>3</v>
      </c>
      <c r="P257" s="230"/>
      <c r="Q257" s="230"/>
      <c r="R257" s="230"/>
      <c r="S257" s="230"/>
      <c r="T257" s="231"/>
      <c r="U257" s="384"/>
      <c r="V257" s="384"/>
      <c r="W257" s="384"/>
      <c r="X257" s="384"/>
      <c r="Y257" s="232">
        <v>1.6</v>
      </c>
      <c r="Z257" s="228" t="s">
        <v>620</v>
      </c>
      <c r="AE257" s="184" t="s">
        <v>548</v>
      </c>
      <c r="AF257" s="184">
        <f>Y247+Y249+Y267+Y279+Y281+Y283+Y285+Y302+Y303+Y298+Y259+Y257+Y293</f>
        <v>21.000000000000004</v>
      </c>
    </row>
    <row r="258" spans="1:32" s="1" customFormat="1" ht="19.5" customHeight="1" x14ac:dyDescent="0.3">
      <c r="A258" s="369"/>
      <c r="B258" s="396"/>
      <c r="C258" s="376"/>
      <c r="D258" s="225" t="s">
        <v>44</v>
      </c>
      <c r="E258" s="386" t="s">
        <v>561</v>
      </c>
      <c r="F258" s="384">
        <v>5</v>
      </c>
      <c r="G258" s="386" t="s">
        <v>35</v>
      </c>
      <c r="H258" s="386">
        <v>15</v>
      </c>
      <c r="I258" s="386"/>
      <c r="J258" s="384">
        <v>45</v>
      </c>
      <c r="K258" s="384"/>
      <c r="L258" s="384"/>
      <c r="M258" s="384">
        <v>15</v>
      </c>
      <c r="N258" s="230"/>
      <c r="O258" s="384">
        <v>3</v>
      </c>
      <c r="P258" s="230"/>
      <c r="Q258" s="230"/>
      <c r="R258" s="230"/>
      <c r="S258" s="230"/>
      <c r="T258" s="231"/>
      <c r="U258" s="384"/>
      <c r="V258" s="384"/>
      <c r="W258" s="384"/>
      <c r="X258" s="384"/>
      <c r="Y258" s="232">
        <v>2.1</v>
      </c>
      <c r="Z258" s="228" t="s">
        <v>639</v>
      </c>
      <c r="AE258" s="184" t="s">
        <v>550</v>
      </c>
      <c r="AF258" s="184" t="e">
        <f>Y248+Y250+Y260+Y261+Y276+Y278+Y280+Y282+Y284+Y286+Y296+Y301+Y304+#REF!+Y262</f>
        <v>#REF!</v>
      </c>
    </row>
    <row r="259" spans="1:32" s="1" customFormat="1" ht="19.5" customHeight="1" x14ac:dyDescent="0.3">
      <c r="A259" s="369"/>
      <c r="B259" s="396"/>
      <c r="C259" s="376"/>
      <c r="D259" s="225" t="s">
        <v>44</v>
      </c>
      <c r="E259" s="386" t="s">
        <v>562</v>
      </c>
      <c r="F259" s="384">
        <v>5</v>
      </c>
      <c r="G259" s="386" t="s">
        <v>35</v>
      </c>
      <c r="H259" s="386">
        <v>15</v>
      </c>
      <c r="I259" s="386"/>
      <c r="J259" s="384">
        <v>45</v>
      </c>
      <c r="K259" s="384"/>
      <c r="L259" s="384"/>
      <c r="M259" s="384"/>
      <c r="N259" s="230"/>
      <c r="O259" s="384"/>
      <c r="P259" s="230"/>
      <c r="Q259" s="230"/>
      <c r="R259" s="230"/>
      <c r="S259" s="230"/>
      <c r="T259" s="231"/>
      <c r="U259" s="384"/>
      <c r="V259" s="384"/>
      <c r="W259" s="384"/>
      <c r="X259" s="384"/>
      <c r="Y259" s="232">
        <v>1.5</v>
      </c>
      <c r="Z259" s="228" t="s">
        <v>620</v>
      </c>
      <c r="AE259" s="184" t="s">
        <v>555</v>
      </c>
      <c r="AF259" s="184" t="e">
        <f>Y252+Y271+Y273+Y275+Y290+#REF!+Y254</f>
        <v>#REF!</v>
      </c>
    </row>
    <row r="260" spans="1:32" s="1" customFormat="1" ht="19.5" customHeight="1" x14ac:dyDescent="0.3">
      <c r="A260" s="369"/>
      <c r="B260" s="396"/>
      <c r="C260" s="376"/>
      <c r="D260" s="384" t="s">
        <v>49</v>
      </c>
      <c r="E260" s="384" t="s">
        <v>563</v>
      </c>
      <c r="F260" s="384">
        <v>5</v>
      </c>
      <c r="G260" s="384" t="s">
        <v>35</v>
      </c>
      <c r="H260" s="386">
        <v>13</v>
      </c>
      <c r="I260" s="386"/>
      <c r="J260" s="384">
        <v>45</v>
      </c>
      <c r="K260" s="384"/>
      <c r="L260" s="384"/>
      <c r="M260" s="384"/>
      <c r="N260" s="230"/>
      <c r="O260" s="384">
        <v>3</v>
      </c>
      <c r="P260" s="230"/>
      <c r="Q260" s="230"/>
      <c r="R260" s="230"/>
      <c r="S260" s="230"/>
      <c r="T260" s="231"/>
      <c r="U260" s="384"/>
      <c r="V260" s="384"/>
      <c r="W260" s="384"/>
      <c r="X260" s="384"/>
      <c r="Y260" s="232">
        <v>1.6</v>
      </c>
      <c r="Z260" s="228" t="s">
        <v>621</v>
      </c>
      <c r="AE260" s="184" t="s">
        <v>564</v>
      </c>
      <c r="AF260" s="184">
        <f>Y251+Y256+Y270+Y272+Y274+Y289</f>
        <v>9.5</v>
      </c>
    </row>
    <row r="261" spans="1:32" s="1" customFormat="1" ht="19.5" customHeight="1" x14ac:dyDescent="0.3">
      <c r="A261" s="369"/>
      <c r="B261" s="396"/>
      <c r="C261" s="376"/>
      <c r="D261" s="384" t="s">
        <v>49</v>
      </c>
      <c r="E261" s="384" t="s">
        <v>565</v>
      </c>
      <c r="F261" s="384">
        <v>5</v>
      </c>
      <c r="G261" s="384" t="s">
        <v>35</v>
      </c>
      <c r="H261" s="386">
        <v>14</v>
      </c>
      <c r="I261" s="386"/>
      <c r="J261" s="384">
        <v>45</v>
      </c>
      <c r="K261" s="384"/>
      <c r="L261" s="384"/>
      <c r="M261" s="384"/>
      <c r="N261" s="230"/>
      <c r="O261" s="384"/>
      <c r="P261" s="230"/>
      <c r="Q261" s="230"/>
      <c r="R261" s="230"/>
      <c r="S261" s="230"/>
      <c r="T261" s="231"/>
      <c r="U261" s="384"/>
      <c r="V261" s="384"/>
      <c r="W261" s="384"/>
      <c r="X261" s="384"/>
      <c r="Y261" s="232">
        <v>1.5</v>
      </c>
      <c r="Z261" s="228" t="s">
        <v>621</v>
      </c>
      <c r="AE261" s="184" t="s">
        <v>533</v>
      </c>
      <c r="AF261" s="184">
        <f>Y253+Y255+Y258+Y263+Y264+Y265+Y287+Y291+Y292+Y294</f>
        <v>16.8</v>
      </c>
    </row>
    <row r="262" spans="1:32" s="1" customFormat="1" ht="19.5" customHeight="1" x14ac:dyDescent="0.3">
      <c r="A262" s="369"/>
      <c r="B262" s="396"/>
      <c r="C262" s="376"/>
      <c r="D262" s="384" t="s">
        <v>62</v>
      </c>
      <c r="E262" s="384" t="s">
        <v>292</v>
      </c>
      <c r="F262" s="384">
        <v>5</v>
      </c>
      <c r="G262" s="386" t="s">
        <v>35</v>
      </c>
      <c r="H262" s="386">
        <v>16</v>
      </c>
      <c r="I262" s="386"/>
      <c r="J262" s="384">
        <v>45</v>
      </c>
      <c r="K262" s="384"/>
      <c r="L262" s="384"/>
      <c r="M262" s="384"/>
      <c r="N262" s="230"/>
      <c r="O262" s="384">
        <v>3</v>
      </c>
      <c r="P262" s="230"/>
      <c r="Q262" s="230"/>
      <c r="R262" s="230"/>
      <c r="S262" s="230"/>
      <c r="T262" s="231"/>
      <c r="U262" s="384"/>
      <c r="V262" s="384"/>
      <c r="W262" s="384"/>
      <c r="X262" s="384"/>
      <c r="Y262" s="232">
        <v>1.6</v>
      </c>
      <c r="Z262" s="228" t="s">
        <v>621</v>
      </c>
      <c r="AE262" s="184"/>
      <c r="AF262" s="184" t="e">
        <f>SUM(AF255:AF261)</f>
        <v>#REF!</v>
      </c>
    </row>
    <row r="263" spans="1:32" s="1" customFormat="1" ht="19.5" customHeight="1" x14ac:dyDescent="0.3">
      <c r="A263" s="369"/>
      <c r="B263" s="396"/>
      <c r="C263" s="376"/>
      <c r="D263" s="386" t="s">
        <v>210</v>
      </c>
      <c r="E263" s="386" t="s">
        <v>293</v>
      </c>
      <c r="F263" s="384">
        <v>5</v>
      </c>
      <c r="G263" s="386" t="s">
        <v>35</v>
      </c>
      <c r="H263" s="386">
        <v>15</v>
      </c>
      <c r="I263" s="386"/>
      <c r="J263" s="384">
        <v>45</v>
      </c>
      <c r="K263" s="384"/>
      <c r="L263" s="384"/>
      <c r="M263" s="384"/>
      <c r="N263" s="230"/>
      <c r="O263" s="384">
        <v>3</v>
      </c>
      <c r="P263" s="230"/>
      <c r="Q263" s="230"/>
      <c r="R263" s="230"/>
      <c r="S263" s="230"/>
      <c r="T263" s="231"/>
      <c r="U263" s="384"/>
      <c r="V263" s="384"/>
      <c r="W263" s="384"/>
      <c r="X263" s="384"/>
      <c r="Y263" s="232">
        <v>1.6</v>
      </c>
      <c r="Z263" s="228" t="s">
        <v>639</v>
      </c>
      <c r="AE263" s="184"/>
      <c r="AF263" s="184"/>
    </row>
    <row r="264" spans="1:32" s="1" customFormat="1" ht="19.5" customHeight="1" x14ac:dyDescent="0.3">
      <c r="A264" s="369"/>
      <c r="B264" s="396"/>
      <c r="C264" s="376"/>
      <c r="D264" s="225" t="s">
        <v>43</v>
      </c>
      <c r="E264" s="386" t="s">
        <v>566</v>
      </c>
      <c r="F264" s="384">
        <v>5</v>
      </c>
      <c r="G264" s="386" t="s">
        <v>35</v>
      </c>
      <c r="H264" s="386">
        <v>11</v>
      </c>
      <c r="I264" s="386"/>
      <c r="J264" s="384">
        <v>45</v>
      </c>
      <c r="K264" s="384"/>
      <c r="L264" s="384"/>
      <c r="M264" s="384"/>
      <c r="N264" s="230"/>
      <c r="O264" s="384">
        <v>3</v>
      </c>
      <c r="P264" s="230"/>
      <c r="Q264" s="230"/>
      <c r="R264" s="230"/>
      <c r="S264" s="230"/>
      <c r="T264" s="231"/>
      <c r="U264" s="384"/>
      <c r="V264" s="384"/>
      <c r="W264" s="384"/>
      <c r="X264" s="384"/>
      <c r="Y264" s="232">
        <v>1.6</v>
      </c>
      <c r="Z264" s="228" t="s">
        <v>639</v>
      </c>
      <c r="AE264" s="184"/>
      <c r="AF264" s="184"/>
    </row>
    <row r="265" spans="1:32" s="1" customFormat="1" ht="19.5" customHeight="1" x14ac:dyDescent="0.3">
      <c r="A265" s="369"/>
      <c r="B265" s="396"/>
      <c r="C265" s="376"/>
      <c r="D265" s="225" t="s">
        <v>43</v>
      </c>
      <c r="E265" s="386" t="s">
        <v>567</v>
      </c>
      <c r="F265" s="384">
        <v>5</v>
      </c>
      <c r="G265" s="386" t="s">
        <v>35</v>
      </c>
      <c r="H265" s="386">
        <v>12</v>
      </c>
      <c r="I265" s="386"/>
      <c r="J265" s="384">
        <v>45</v>
      </c>
      <c r="K265" s="384"/>
      <c r="L265" s="384"/>
      <c r="M265" s="384"/>
      <c r="N265" s="230"/>
      <c r="O265" s="384">
        <v>3</v>
      </c>
      <c r="P265" s="230"/>
      <c r="Q265" s="230"/>
      <c r="R265" s="230"/>
      <c r="S265" s="230"/>
      <c r="T265" s="231"/>
      <c r="U265" s="384"/>
      <c r="V265" s="384"/>
      <c r="W265" s="384"/>
      <c r="X265" s="384"/>
      <c r="Y265" s="232">
        <v>1.5</v>
      </c>
      <c r="Z265" s="228" t="s">
        <v>639</v>
      </c>
      <c r="AE265" s="184"/>
      <c r="AF265" s="184"/>
    </row>
    <row r="266" spans="1:32" s="1" customFormat="1" ht="19.5" customHeight="1" x14ac:dyDescent="0.3">
      <c r="A266" s="369"/>
      <c r="B266" s="396"/>
      <c r="C266" s="376"/>
      <c r="D266" s="386" t="s">
        <v>60</v>
      </c>
      <c r="E266" s="386" t="s">
        <v>568</v>
      </c>
      <c r="F266" s="384">
        <v>5</v>
      </c>
      <c r="G266" s="384" t="s">
        <v>35</v>
      </c>
      <c r="H266" s="386">
        <v>15</v>
      </c>
      <c r="I266" s="386"/>
      <c r="J266" s="384">
        <v>45</v>
      </c>
      <c r="K266" s="384"/>
      <c r="L266" s="384"/>
      <c r="M266" s="384"/>
      <c r="N266" s="230"/>
      <c r="O266" s="384">
        <v>3</v>
      </c>
      <c r="P266" s="230"/>
      <c r="Q266" s="230"/>
      <c r="R266" s="230"/>
      <c r="S266" s="230"/>
      <c r="T266" s="231"/>
      <c r="U266" s="384"/>
      <c r="V266" s="384"/>
      <c r="W266" s="384"/>
      <c r="X266" s="384"/>
      <c r="Y266" s="232">
        <v>1.6</v>
      </c>
      <c r="Z266" s="228" t="s">
        <v>624</v>
      </c>
      <c r="AE266" s="184"/>
      <c r="AF266" s="184"/>
    </row>
    <row r="267" spans="1:32" s="1" customFormat="1" ht="19.5" customHeight="1" x14ac:dyDescent="0.3">
      <c r="A267" s="369"/>
      <c r="B267" s="396"/>
      <c r="C267" s="376"/>
      <c r="D267" s="386" t="s">
        <v>60</v>
      </c>
      <c r="E267" s="386" t="s">
        <v>569</v>
      </c>
      <c r="F267" s="384">
        <v>5</v>
      </c>
      <c r="G267" s="384" t="s">
        <v>35</v>
      </c>
      <c r="H267" s="386">
        <v>15</v>
      </c>
      <c r="I267" s="386"/>
      <c r="J267" s="384">
        <v>45</v>
      </c>
      <c r="K267" s="384"/>
      <c r="L267" s="384"/>
      <c r="M267" s="384"/>
      <c r="N267" s="230"/>
      <c r="O267" s="384"/>
      <c r="P267" s="230"/>
      <c r="Q267" s="230"/>
      <c r="R267" s="230"/>
      <c r="S267" s="230"/>
      <c r="T267" s="231"/>
      <c r="U267" s="384"/>
      <c r="V267" s="384"/>
      <c r="W267" s="384"/>
      <c r="X267" s="384"/>
      <c r="Y267" s="232">
        <v>1.5</v>
      </c>
      <c r="Z267" s="228" t="s">
        <v>620</v>
      </c>
      <c r="AE267" s="184"/>
      <c r="AF267" s="184"/>
    </row>
    <row r="268" spans="1:32" s="1" customFormat="1" ht="19.5" customHeight="1" x14ac:dyDescent="0.3">
      <c r="A268" s="369"/>
      <c r="B268" s="396"/>
      <c r="C268" s="376"/>
      <c r="D268" s="225" t="s">
        <v>114</v>
      </c>
      <c r="E268" s="384" t="s">
        <v>596</v>
      </c>
      <c r="F268" s="384">
        <v>5</v>
      </c>
      <c r="G268" s="386" t="s">
        <v>35</v>
      </c>
      <c r="H268" s="386">
        <v>15</v>
      </c>
      <c r="I268" s="386"/>
      <c r="J268" s="384">
        <v>45</v>
      </c>
      <c r="K268" s="384"/>
      <c r="L268" s="384"/>
      <c r="M268" s="384">
        <v>15</v>
      </c>
      <c r="N268" s="230"/>
      <c r="O268" s="384">
        <v>3</v>
      </c>
      <c r="P268" s="230"/>
      <c r="Q268" s="230"/>
      <c r="R268" s="230"/>
      <c r="S268" s="230"/>
      <c r="T268" s="231"/>
      <c r="U268" s="384"/>
      <c r="V268" s="384"/>
      <c r="W268" s="384"/>
      <c r="X268" s="384"/>
      <c r="Y268" s="232">
        <v>2.1</v>
      </c>
      <c r="Z268" s="228" t="s">
        <v>624</v>
      </c>
      <c r="AE268" s="184"/>
      <c r="AF268" s="184"/>
    </row>
    <row r="269" spans="1:32" s="1" customFormat="1" ht="19.5" customHeight="1" x14ac:dyDescent="0.3">
      <c r="A269" s="369"/>
      <c r="B269" s="396"/>
      <c r="C269" s="376"/>
      <c r="D269" s="225" t="s">
        <v>46</v>
      </c>
      <c r="E269" s="386" t="s">
        <v>301</v>
      </c>
      <c r="F269" s="384">
        <v>5</v>
      </c>
      <c r="G269" s="386" t="s">
        <v>35</v>
      </c>
      <c r="H269" s="386">
        <v>15</v>
      </c>
      <c r="I269" s="386"/>
      <c r="J269" s="384">
        <v>45</v>
      </c>
      <c r="K269" s="384"/>
      <c r="L269" s="384"/>
      <c r="M269" s="384"/>
      <c r="N269" s="230"/>
      <c r="O269" s="384">
        <v>3</v>
      </c>
      <c r="P269" s="230"/>
      <c r="Q269" s="230"/>
      <c r="R269" s="230"/>
      <c r="S269" s="230"/>
      <c r="T269" s="231"/>
      <c r="U269" s="384"/>
      <c r="V269" s="384"/>
      <c r="W269" s="384"/>
      <c r="X269" s="384"/>
      <c r="Y269" s="232">
        <v>1.6</v>
      </c>
      <c r="Z269" s="228" t="s">
        <v>624</v>
      </c>
      <c r="AE269" s="184"/>
      <c r="AF269" s="184"/>
    </row>
    <row r="270" spans="1:32" s="1" customFormat="1" ht="19.5" customHeight="1" x14ac:dyDescent="0.3">
      <c r="A270" s="369"/>
      <c r="B270" s="396"/>
      <c r="C270" s="376"/>
      <c r="D270" s="386" t="s">
        <v>81</v>
      </c>
      <c r="E270" s="386" t="s">
        <v>570</v>
      </c>
      <c r="F270" s="384">
        <v>5</v>
      </c>
      <c r="G270" s="386" t="s">
        <v>35</v>
      </c>
      <c r="H270" s="386">
        <v>15</v>
      </c>
      <c r="I270" s="386"/>
      <c r="J270" s="384">
        <v>45</v>
      </c>
      <c r="K270" s="384"/>
      <c r="L270" s="384"/>
      <c r="M270" s="384"/>
      <c r="N270" s="230"/>
      <c r="O270" s="384">
        <v>3</v>
      </c>
      <c r="P270" s="230"/>
      <c r="Q270" s="230"/>
      <c r="R270" s="230"/>
      <c r="S270" s="230"/>
      <c r="T270" s="231"/>
      <c r="U270" s="384"/>
      <c r="V270" s="384"/>
      <c r="W270" s="384"/>
      <c r="X270" s="384"/>
      <c r="Y270" s="232">
        <v>1.6</v>
      </c>
      <c r="Z270" s="228" t="s">
        <v>622</v>
      </c>
      <c r="AE270" s="184"/>
      <c r="AF270" s="184"/>
    </row>
    <row r="271" spans="1:32" s="1" customFormat="1" ht="19.5" customHeight="1" x14ac:dyDescent="0.3">
      <c r="A271" s="369"/>
      <c r="B271" s="396"/>
      <c r="C271" s="376"/>
      <c r="D271" s="386" t="s">
        <v>81</v>
      </c>
      <c r="E271" s="386" t="s">
        <v>571</v>
      </c>
      <c r="F271" s="384">
        <v>5</v>
      </c>
      <c r="G271" s="386" t="s">
        <v>35</v>
      </c>
      <c r="H271" s="386">
        <v>15</v>
      </c>
      <c r="I271" s="386"/>
      <c r="J271" s="384">
        <v>45</v>
      </c>
      <c r="K271" s="384"/>
      <c r="L271" s="384"/>
      <c r="M271" s="384"/>
      <c r="N271" s="230"/>
      <c r="O271" s="384"/>
      <c r="P271" s="230"/>
      <c r="Q271" s="230"/>
      <c r="R271" s="230"/>
      <c r="S271" s="230"/>
      <c r="T271" s="231"/>
      <c r="U271" s="384"/>
      <c r="V271" s="384"/>
      <c r="W271" s="384"/>
      <c r="X271" s="384"/>
      <c r="Y271" s="232">
        <v>1.5</v>
      </c>
      <c r="Z271" s="228" t="s">
        <v>623</v>
      </c>
      <c r="AE271" s="184"/>
      <c r="AF271" s="184"/>
    </row>
    <row r="272" spans="1:32" s="1" customFormat="1" ht="19.5" customHeight="1" x14ac:dyDescent="0.3">
      <c r="A272" s="369"/>
      <c r="B272" s="396"/>
      <c r="C272" s="376"/>
      <c r="D272" s="386" t="s">
        <v>81</v>
      </c>
      <c r="E272" s="386" t="s">
        <v>572</v>
      </c>
      <c r="F272" s="384">
        <v>5</v>
      </c>
      <c r="G272" s="386" t="s">
        <v>35</v>
      </c>
      <c r="H272" s="386">
        <v>15</v>
      </c>
      <c r="I272" s="386"/>
      <c r="J272" s="384">
        <v>45</v>
      </c>
      <c r="K272" s="384"/>
      <c r="L272" s="384"/>
      <c r="M272" s="384"/>
      <c r="N272" s="230"/>
      <c r="O272" s="384">
        <v>3</v>
      </c>
      <c r="P272" s="230"/>
      <c r="Q272" s="230"/>
      <c r="R272" s="230"/>
      <c r="S272" s="230"/>
      <c r="T272" s="231"/>
      <c r="U272" s="384"/>
      <c r="V272" s="384"/>
      <c r="W272" s="384"/>
      <c r="X272" s="384"/>
      <c r="Y272" s="232">
        <v>1.6</v>
      </c>
      <c r="Z272" s="228" t="s">
        <v>622</v>
      </c>
      <c r="AE272" s="184"/>
      <c r="AF272" s="184"/>
    </row>
    <row r="273" spans="1:32" s="1" customFormat="1" ht="19.5" customHeight="1" x14ac:dyDescent="0.3">
      <c r="A273" s="369"/>
      <c r="B273" s="396"/>
      <c r="C273" s="376"/>
      <c r="D273" s="386" t="s">
        <v>81</v>
      </c>
      <c r="E273" s="386" t="s">
        <v>573</v>
      </c>
      <c r="F273" s="384">
        <v>5</v>
      </c>
      <c r="G273" s="386" t="s">
        <v>35</v>
      </c>
      <c r="H273" s="386">
        <v>15</v>
      </c>
      <c r="I273" s="386"/>
      <c r="J273" s="384">
        <v>45</v>
      </c>
      <c r="K273" s="384"/>
      <c r="L273" s="384"/>
      <c r="M273" s="384"/>
      <c r="N273" s="230"/>
      <c r="O273" s="384"/>
      <c r="P273" s="230"/>
      <c r="Q273" s="230"/>
      <c r="R273" s="230"/>
      <c r="S273" s="230"/>
      <c r="T273" s="231"/>
      <c r="U273" s="384"/>
      <c r="V273" s="384"/>
      <c r="W273" s="384"/>
      <c r="X273" s="384"/>
      <c r="Y273" s="232">
        <v>1.5</v>
      </c>
      <c r="Z273" s="228" t="s">
        <v>623</v>
      </c>
      <c r="AE273" s="184"/>
      <c r="AF273" s="184"/>
    </row>
    <row r="274" spans="1:32" s="1" customFormat="1" ht="19.5" customHeight="1" x14ac:dyDescent="0.3">
      <c r="A274" s="369"/>
      <c r="B274" s="396"/>
      <c r="C274" s="376"/>
      <c r="D274" s="386" t="s">
        <v>81</v>
      </c>
      <c r="E274" s="386" t="s">
        <v>574</v>
      </c>
      <c r="F274" s="384">
        <v>5</v>
      </c>
      <c r="G274" s="386" t="s">
        <v>35</v>
      </c>
      <c r="H274" s="386">
        <v>15</v>
      </c>
      <c r="I274" s="386"/>
      <c r="J274" s="384">
        <v>45</v>
      </c>
      <c r="K274" s="384"/>
      <c r="L274" s="384"/>
      <c r="M274" s="384"/>
      <c r="N274" s="230"/>
      <c r="O274" s="384">
        <v>3</v>
      </c>
      <c r="P274" s="230"/>
      <c r="Q274" s="230"/>
      <c r="R274" s="230"/>
      <c r="S274" s="230"/>
      <c r="T274" s="231"/>
      <c r="U274" s="384"/>
      <c r="V274" s="384"/>
      <c r="W274" s="384"/>
      <c r="X274" s="384"/>
      <c r="Y274" s="232">
        <v>1.6</v>
      </c>
      <c r="Z274" s="228" t="s">
        <v>622</v>
      </c>
      <c r="AE274" s="184"/>
      <c r="AF274" s="184"/>
    </row>
    <row r="275" spans="1:32" s="1" customFormat="1" ht="19.5" customHeight="1" x14ac:dyDescent="0.3">
      <c r="A275" s="369"/>
      <c r="B275" s="396"/>
      <c r="C275" s="376"/>
      <c r="D275" s="386" t="s">
        <v>81</v>
      </c>
      <c r="E275" s="386" t="s">
        <v>575</v>
      </c>
      <c r="F275" s="384">
        <v>5</v>
      </c>
      <c r="G275" s="386" t="s">
        <v>35</v>
      </c>
      <c r="H275" s="386">
        <v>15</v>
      </c>
      <c r="I275" s="386"/>
      <c r="J275" s="384">
        <v>45</v>
      </c>
      <c r="K275" s="384"/>
      <c r="L275" s="384"/>
      <c r="M275" s="384"/>
      <c r="N275" s="230"/>
      <c r="O275" s="384"/>
      <c r="P275" s="230"/>
      <c r="Q275" s="230"/>
      <c r="R275" s="230"/>
      <c r="S275" s="230"/>
      <c r="T275" s="231"/>
      <c r="U275" s="384"/>
      <c r="V275" s="384"/>
      <c r="W275" s="384"/>
      <c r="X275" s="384"/>
      <c r="Y275" s="232">
        <v>1.5</v>
      </c>
      <c r="Z275" s="228" t="s">
        <v>623</v>
      </c>
      <c r="AE275" s="184"/>
      <c r="AF275" s="184"/>
    </row>
    <row r="276" spans="1:32" s="1" customFormat="1" ht="19.5" customHeight="1" x14ac:dyDescent="0.3">
      <c r="A276" s="369"/>
      <c r="B276" s="396"/>
      <c r="C276" s="376"/>
      <c r="D276" s="225" t="s">
        <v>41</v>
      </c>
      <c r="E276" s="384" t="s">
        <v>318</v>
      </c>
      <c r="F276" s="384">
        <v>5</v>
      </c>
      <c r="G276" s="384" t="s">
        <v>35</v>
      </c>
      <c r="H276" s="386">
        <v>7</v>
      </c>
      <c r="I276" s="386"/>
      <c r="J276" s="384">
        <v>45</v>
      </c>
      <c r="K276" s="384"/>
      <c r="L276" s="384"/>
      <c r="M276" s="384">
        <v>15</v>
      </c>
      <c r="N276" s="230"/>
      <c r="O276" s="384">
        <v>3</v>
      </c>
      <c r="P276" s="230"/>
      <c r="Q276" s="230"/>
      <c r="R276" s="230"/>
      <c r="S276" s="230"/>
      <c r="T276" s="231"/>
      <c r="U276" s="384"/>
      <c r="V276" s="384"/>
      <c r="W276" s="384"/>
      <c r="X276" s="384"/>
      <c r="Y276" s="232">
        <v>2.1</v>
      </c>
      <c r="Z276" s="228" t="s">
        <v>621</v>
      </c>
      <c r="AE276" s="184"/>
      <c r="AF276" s="184"/>
    </row>
    <row r="277" spans="1:32" s="1" customFormat="1" ht="19.5" customHeight="1" x14ac:dyDescent="0.3">
      <c r="A277" s="369"/>
      <c r="B277" s="396"/>
      <c r="C277" s="376"/>
      <c r="D277" s="384" t="s">
        <v>51</v>
      </c>
      <c r="E277" s="384" t="s">
        <v>576</v>
      </c>
      <c r="F277" s="384">
        <v>5</v>
      </c>
      <c r="G277" s="386" t="s">
        <v>35</v>
      </c>
      <c r="H277" s="386">
        <v>10</v>
      </c>
      <c r="I277" s="386"/>
      <c r="J277" s="384"/>
      <c r="K277" s="384"/>
      <c r="L277" s="384"/>
      <c r="M277" s="384"/>
      <c r="N277" s="230"/>
      <c r="O277" s="384"/>
      <c r="P277" s="230"/>
      <c r="Q277" s="230"/>
      <c r="R277" s="230"/>
      <c r="S277" s="230"/>
      <c r="T277" s="231"/>
      <c r="U277" s="384"/>
      <c r="V277" s="384"/>
      <c r="W277" s="384"/>
      <c r="X277" s="384"/>
      <c r="Y277" s="232"/>
      <c r="Z277" s="228" t="s">
        <v>621</v>
      </c>
      <c r="AE277" s="184"/>
      <c r="AF277" s="184"/>
    </row>
    <row r="278" spans="1:32" s="1" customFormat="1" ht="19.5" customHeight="1" x14ac:dyDescent="0.3">
      <c r="A278" s="369"/>
      <c r="B278" s="396"/>
      <c r="C278" s="376"/>
      <c r="D278" s="384" t="s">
        <v>51</v>
      </c>
      <c r="E278" s="384" t="s">
        <v>577</v>
      </c>
      <c r="F278" s="384">
        <v>5</v>
      </c>
      <c r="G278" s="386" t="s">
        <v>35</v>
      </c>
      <c r="H278" s="386">
        <v>16</v>
      </c>
      <c r="I278" s="386"/>
      <c r="J278" s="384">
        <v>45</v>
      </c>
      <c r="K278" s="384"/>
      <c r="L278" s="384"/>
      <c r="M278" s="384"/>
      <c r="N278" s="230"/>
      <c r="O278" s="384"/>
      <c r="P278" s="230"/>
      <c r="Q278" s="230"/>
      <c r="R278" s="230"/>
      <c r="S278" s="230"/>
      <c r="T278" s="231"/>
      <c r="U278" s="384"/>
      <c r="V278" s="384"/>
      <c r="W278" s="384"/>
      <c r="X278" s="384"/>
      <c r="Y278" s="232">
        <v>1.5</v>
      </c>
      <c r="Z278" s="228" t="s">
        <v>621</v>
      </c>
      <c r="AE278" s="184"/>
      <c r="AF278" s="184"/>
    </row>
    <row r="279" spans="1:32" s="1" customFormat="1" ht="19.5" customHeight="1" x14ac:dyDescent="0.3">
      <c r="A279" s="369"/>
      <c r="B279" s="396"/>
      <c r="C279" s="376"/>
      <c r="D279" s="225" t="s">
        <v>52</v>
      </c>
      <c r="E279" s="386" t="s">
        <v>578</v>
      </c>
      <c r="F279" s="384">
        <v>5</v>
      </c>
      <c r="G279" s="386" t="s">
        <v>35</v>
      </c>
      <c r="H279" s="386">
        <v>15</v>
      </c>
      <c r="I279" s="386"/>
      <c r="J279" s="384">
        <v>45</v>
      </c>
      <c r="K279" s="384"/>
      <c r="L279" s="384"/>
      <c r="M279" s="384"/>
      <c r="N279" s="230"/>
      <c r="O279" s="384">
        <v>3</v>
      </c>
      <c r="P279" s="230"/>
      <c r="Q279" s="230"/>
      <c r="R279" s="230"/>
      <c r="S279" s="230"/>
      <c r="T279" s="231"/>
      <c r="U279" s="384"/>
      <c r="V279" s="384"/>
      <c r="W279" s="384"/>
      <c r="X279" s="384"/>
      <c r="Y279" s="232">
        <v>1.6</v>
      </c>
      <c r="Z279" s="228" t="s">
        <v>620</v>
      </c>
      <c r="AE279" s="184"/>
      <c r="AF279" s="184"/>
    </row>
    <row r="280" spans="1:32" s="1" customFormat="1" ht="19.5" customHeight="1" x14ac:dyDescent="0.3">
      <c r="A280" s="369"/>
      <c r="B280" s="396"/>
      <c r="C280" s="376"/>
      <c r="D280" s="225" t="s">
        <v>52</v>
      </c>
      <c r="E280" s="386" t="s">
        <v>579</v>
      </c>
      <c r="F280" s="384">
        <v>5</v>
      </c>
      <c r="G280" s="386" t="s">
        <v>35</v>
      </c>
      <c r="H280" s="386">
        <v>15</v>
      </c>
      <c r="I280" s="386"/>
      <c r="J280" s="384">
        <v>45</v>
      </c>
      <c r="K280" s="384"/>
      <c r="L280" s="384"/>
      <c r="M280" s="384"/>
      <c r="N280" s="230"/>
      <c r="O280" s="384"/>
      <c r="P280" s="230"/>
      <c r="Q280" s="230"/>
      <c r="R280" s="230"/>
      <c r="S280" s="230"/>
      <c r="T280" s="231"/>
      <c r="U280" s="384"/>
      <c r="V280" s="384"/>
      <c r="W280" s="384"/>
      <c r="X280" s="384"/>
      <c r="Y280" s="232">
        <v>1.5</v>
      </c>
      <c r="Z280" s="228" t="s">
        <v>621</v>
      </c>
      <c r="AC280" s="1" t="e">
        <f>Y248+Y250+Y280+Y282+Y284+Y286+Y301+Y304+Y276+Y278+Y296+#REF!+Y260+Y261</f>
        <v>#REF!</v>
      </c>
      <c r="AE280" s="184"/>
      <c r="AF280" s="184"/>
    </row>
    <row r="281" spans="1:32" s="1" customFormat="1" ht="19.5" customHeight="1" x14ac:dyDescent="0.3">
      <c r="A281" s="369"/>
      <c r="B281" s="396"/>
      <c r="C281" s="376"/>
      <c r="D281" s="225" t="s">
        <v>52</v>
      </c>
      <c r="E281" s="386" t="s">
        <v>580</v>
      </c>
      <c r="F281" s="384">
        <v>5</v>
      </c>
      <c r="G281" s="386" t="s">
        <v>35</v>
      </c>
      <c r="H281" s="386">
        <v>15</v>
      </c>
      <c r="I281" s="386"/>
      <c r="J281" s="384">
        <v>45</v>
      </c>
      <c r="K281" s="384"/>
      <c r="L281" s="384"/>
      <c r="M281" s="384"/>
      <c r="N281" s="230"/>
      <c r="O281" s="384">
        <v>3</v>
      </c>
      <c r="P281" s="230"/>
      <c r="Q281" s="230"/>
      <c r="R281" s="230"/>
      <c r="S281" s="230"/>
      <c r="T281" s="231"/>
      <c r="U281" s="384"/>
      <c r="V281" s="384"/>
      <c r="W281" s="384"/>
      <c r="X281" s="384"/>
      <c r="Y281" s="232">
        <v>1.6</v>
      </c>
      <c r="Z281" s="228" t="s">
        <v>620</v>
      </c>
      <c r="AE281" s="184"/>
      <c r="AF281" s="184"/>
    </row>
    <row r="282" spans="1:32" s="1" customFormat="1" ht="19.5" customHeight="1" x14ac:dyDescent="0.3">
      <c r="A282" s="369"/>
      <c r="B282" s="396"/>
      <c r="C282" s="376"/>
      <c r="D282" s="225" t="s">
        <v>52</v>
      </c>
      <c r="E282" s="386" t="s">
        <v>581</v>
      </c>
      <c r="F282" s="384">
        <v>5</v>
      </c>
      <c r="G282" s="386" t="s">
        <v>35</v>
      </c>
      <c r="H282" s="386">
        <v>15</v>
      </c>
      <c r="I282" s="386"/>
      <c r="J282" s="384">
        <v>45</v>
      </c>
      <c r="K282" s="384"/>
      <c r="L282" s="384"/>
      <c r="M282" s="384"/>
      <c r="N282" s="230"/>
      <c r="O282" s="384"/>
      <c r="P282" s="230"/>
      <c r="Q282" s="230"/>
      <c r="R282" s="230"/>
      <c r="S282" s="230"/>
      <c r="T282" s="231"/>
      <c r="U282" s="384"/>
      <c r="V282" s="384"/>
      <c r="W282" s="384"/>
      <c r="X282" s="384"/>
      <c r="Y282" s="232">
        <v>1.5</v>
      </c>
      <c r="Z282" s="228" t="s">
        <v>621</v>
      </c>
      <c r="AE282" s="184"/>
      <c r="AF282" s="184"/>
    </row>
    <row r="283" spans="1:32" s="1" customFormat="1" ht="19.5" customHeight="1" x14ac:dyDescent="0.3">
      <c r="A283" s="369"/>
      <c r="B283" s="396"/>
      <c r="C283" s="376"/>
      <c r="D283" s="225" t="s">
        <v>52</v>
      </c>
      <c r="E283" s="386" t="s">
        <v>582</v>
      </c>
      <c r="F283" s="384">
        <v>5</v>
      </c>
      <c r="G283" s="386" t="s">
        <v>35</v>
      </c>
      <c r="H283" s="386">
        <v>15</v>
      </c>
      <c r="I283" s="386"/>
      <c r="J283" s="384">
        <v>45</v>
      </c>
      <c r="K283" s="384"/>
      <c r="L283" s="384"/>
      <c r="M283" s="384"/>
      <c r="N283" s="230"/>
      <c r="O283" s="384">
        <v>3</v>
      </c>
      <c r="P283" s="230"/>
      <c r="Q283" s="230"/>
      <c r="R283" s="230"/>
      <c r="S283" s="230"/>
      <c r="T283" s="231"/>
      <c r="U283" s="384"/>
      <c r="V283" s="384"/>
      <c r="W283" s="384"/>
      <c r="X283" s="384"/>
      <c r="Y283" s="232">
        <v>1.6</v>
      </c>
      <c r="Z283" s="228" t="s">
        <v>620</v>
      </c>
      <c r="AE283" s="184"/>
      <c r="AF283" s="184"/>
    </row>
    <row r="284" spans="1:32" s="1" customFormat="1" ht="19.5" customHeight="1" x14ac:dyDescent="0.3">
      <c r="A284" s="369"/>
      <c r="B284" s="396"/>
      <c r="C284" s="376"/>
      <c r="D284" s="225" t="s">
        <v>52</v>
      </c>
      <c r="E284" s="386" t="s">
        <v>583</v>
      </c>
      <c r="F284" s="384">
        <v>5</v>
      </c>
      <c r="G284" s="386" t="s">
        <v>35</v>
      </c>
      <c r="H284" s="386">
        <v>14</v>
      </c>
      <c r="I284" s="386"/>
      <c r="J284" s="384">
        <v>45</v>
      </c>
      <c r="K284" s="384"/>
      <c r="L284" s="384"/>
      <c r="M284" s="384"/>
      <c r="N284" s="230"/>
      <c r="O284" s="384"/>
      <c r="P284" s="230"/>
      <c r="Q284" s="230"/>
      <c r="R284" s="230"/>
      <c r="S284" s="230"/>
      <c r="T284" s="231"/>
      <c r="U284" s="384"/>
      <c r="V284" s="384"/>
      <c r="W284" s="384"/>
      <c r="X284" s="384"/>
      <c r="Y284" s="232">
        <v>1.5</v>
      </c>
      <c r="Z284" s="228" t="s">
        <v>621</v>
      </c>
      <c r="AE284" s="184"/>
      <c r="AF284" s="184"/>
    </row>
    <row r="285" spans="1:32" s="1" customFormat="1" ht="19.5" customHeight="1" x14ac:dyDescent="0.3">
      <c r="A285" s="369"/>
      <c r="B285" s="396"/>
      <c r="C285" s="376"/>
      <c r="D285" s="225" t="s">
        <v>52</v>
      </c>
      <c r="E285" s="386" t="s">
        <v>584</v>
      </c>
      <c r="F285" s="384">
        <v>5</v>
      </c>
      <c r="G285" s="386" t="s">
        <v>35</v>
      </c>
      <c r="H285" s="386">
        <v>15</v>
      </c>
      <c r="I285" s="386"/>
      <c r="J285" s="384">
        <v>45</v>
      </c>
      <c r="K285" s="384"/>
      <c r="L285" s="384"/>
      <c r="M285" s="384"/>
      <c r="N285" s="230"/>
      <c r="O285" s="384">
        <v>3</v>
      </c>
      <c r="P285" s="230"/>
      <c r="Q285" s="230"/>
      <c r="R285" s="230"/>
      <c r="S285" s="230"/>
      <c r="T285" s="231"/>
      <c r="U285" s="384"/>
      <c r="V285" s="384"/>
      <c r="W285" s="384"/>
      <c r="X285" s="384"/>
      <c r="Y285" s="232">
        <v>1.6</v>
      </c>
      <c r="Z285" s="228" t="s">
        <v>620</v>
      </c>
      <c r="AE285" s="184"/>
      <c r="AF285" s="184"/>
    </row>
    <row r="286" spans="1:32" s="1" customFormat="1" ht="19.5" customHeight="1" x14ac:dyDescent="0.3">
      <c r="A286" s="369"/>
      <c r="B286" s="396"/>
      <c r="C286" s="376"/>
      <c r="D286" s="225" t="s">
        <v>52</v>
      </c>
      <c r="E286" s="386" t="s">
        <v>585</v>
      </c>
      <c r="F286" s="384">
        <v>5</v>
      </c>
      <c r="G286" s="386" t="s">
        <v>35</v>
      </c>
      <c r="H286" s="386">
        <v>14</v>
      </c>
      <c r="I286" s="386"/>
      <c r="J286" s="384">
        <v>45</v>
      </c>
      <c r="K286" s="384"/>
      <c r="L286" s="384"/>
      <c r="M286" s="384"/>
      <c r="N286" s="230"/>
      <c r="O286" s="384"/>
      <c r="P286" s="230"/>
      <c r="Q286" s="230"/>
      <c r="R286" s="230"/>
      <c r="S286" s="230"/>
      <c r="T286" s="231"/>
      <c r="U286" s="384"/>
      <c r="V286" s="384"/>
      <c r="W286" s="384"/>
      <c r="X286" s="384"/>
      <c r="Y286" s="232">
        <v>1.5</v>
      </c>
      <c r="Z286" s="228" t="s">
        <v>621</v>
      </c>
      <c r="AE286" s="184"/>
      <c r="AF286" s="184"/>
    </row>
    <row r="287" spans="1:32" s="1" customFormat="1" ht="19.5" customHeight="1" x14ac:dyDescent="0.3">
      <c r="A287" s="369"/>
      <c r="B287" s="396"/>
      <c r="C287" s="376"/>
      <c r="D287" s="384" t="s">
        <v>62</v>
      </c>
      <c r="E287" s="384" t="s">
        <v>305</v>
      </c>
      <c r="F287" s="384">
        <v>5</v>
      </c>
      <c r="G287" s="384" t="s">
        <v>32</v>
      </c>
      <c r="H287" s="386">
        <v>8</v>
      </c>
      <c r="I287" s="386"/>
      <c r="J287" s="384">
        <v>45</v>
      </c>
      <c r="K287" s="384"/>
      <c r="L287" s="384"/>
      <c r="M287" s="384">
        <v>15</v>
      </c>
      <c r="N287" s="230"/>
      <c r="O287" s="384">
        <v>3</v>
      </c>
      <c r="P287" s="230"/>
      <c r="Q287" s="230"/>
      <c r="R287" s="230"/>
      <c r="S287" s="230"/>
      <c r="T287" s="231"/>
      <c r="U287" s="384"/>
      <c r="V287" s="384"/>
      <c r="W287" s="384"/>
      <c r="X287" s="384"/>
      <c r="Y287" s="232">
        <v>2.1</v>
      </c>
      <c r="Z287" s="228" t="s">
        <v>640</v>
      </c>
      <c r="AE287" s="184"/>
      <c r="AF287" s="184"/>
    </row>
    <row r="288" spans="1:32" s="1" customFormat="1" ht="19.5" customHeight="1" x14ac:dyDescent="0.3">
      <c r="A288" s="369"/>
      <c r="B288" s="396"/>
      <c r="C288" s="376"/>
      <c r="D288" s="386" t="s">
        <v>210</v>
      </c>
      <c r="E288" s="386" t="s">
        <v>323</v>
      </c>
      <c r="F288" s="384">
        <v>5</v>
      </c>
      <c r="G288" s="384" t="s">
        <v>32</v>
      </c>
      <c r="H288" s="386">
        <v>4</v>
      </c>
      <c r="I288" s="386"/>
      <c r="J288" s="384"/>
      <c r="K288" s="384"/>
      <c r="L288" s="384"/>
      <c r="M288" s="384"/>
      <c r="N288" s="230"/>
      <c r="O288" s="384"/>
      <c r="P288" s="230"/>
      <c r="Q288" s="230"/>
      <c r="R288" s="230"/>
      <c r="S288" s="230"/>
      <c r="T288" s="231"/>
      <c r="U288" s="384"/>
      <c r="V288" s="384"/>
      <c r="W288" s="384"/>
      <c r="X288" s="384"/>
      <c r="Y288" s="232"/>
      <c r="Z288" s="228" t="s">
        <v>640</v>
      </c>
      <c r="AE288" s="184"/>
      <c r="AF288" s="184"/>
    </row>
    <row r="289" spans="1:32" s="1" customFormat="1" ht="19.5" customHeight="1" x14ac:dyDescent="0.3">
      <c r="A289" s="369"/>
      <c r="B289" s="396"/>
      <c r="C289" s="376"/>
      <c r="D289" s="386" t="s">
        <v>81</v>
      </c>
      <c r="E289" s="386" t="s">
        <v>600</v>
      </c>
      <c r="F289" s="384">
        <v>5</v>
      </c>
      <c r="G289" s="384" t="s">
        <v>32</v>
      </c>
      <c r="H289" s="386">
        <v>11</v>
      </c>
      <c r="I289" s="386"/>
      <c r="J289" s="384">
        <v>45</v>
      </c>
      <c r="K289" s="384"/>
      <c r="L289" s="384"/>
      <c r="M289" s="384"/>
      <c r="N289" s="230"/>
      <c r="O289" s="384">
        <v>3</v>
      </c>
      <c r="P289" s="230"/>
      <c r="Q289" s="230"/>
      <c r="R289" s="230"/>
      <c r="S289" s="230"/>
      <c r="T289" s="231"/>
      <c r="U289" s="384"/>
      <c r="V289" s="384"/>
      <c r="W289" s="384"/>
      <c r="X289" s="384"/>
      <c r="Y289" s="232">
        <v>1.6</v>
      </c>
      <c r="Z289" s="228" t="s">
        <v>625</v>
      </c>
      <c r="AE289" s="184"/>
      <c r="AF289" s="184"/>
    </row>
    <row r="290" spans="1:32" s="1" customFormat="1" ht="19.5" customHeight="1" x14ac:dyDescent="0.3">
      <c r="A290" s="369"/>
      <c r="B290" s="396"/>
      <c r="C290" s="376"/>
      <c r="D290" s="386" t="s">
        <v>81</v>
      </c>
      <c r="E290" s="386" t="s">
        <v>602</v>
      </c>
      <c r="F290" s="384">
        <v>5</v>
      </c>
      <c r="G290" s="384" t="s">
        <v>32</v>
      </c>
      <c r="H290" s="386">
        <v>10</v>
      </c>
      <c r="I290" s="386"/>
      <c r="J290" s="384">
        <v>45</v>
      </c>
      <c r="K290" s="384"/>
      <c r="L290" s="384"/>
      <c r="M290" s="384"/>
      <c r="N290" s="230"/>
      <c r="O290" s="384"/>
      <c r="P290" s="230"/>
      <c r="Q290" s="230"/>
      <c r="R290" s="230"/>
      <c r="S290" s="230"/>
      <c r="T290" s="231"/>
      <c r="U290" s="384"/>
      <c r="V290" s="384"/>
      <c r="W290" s="384"/>
      <c r="X290" s="384"/>
      <c r="Y290" s="232">
        <v>1.5</v>
      </c>
      <c r="Z290" s="228" t="s">
        <v>626</v>
      </c>
      <c r="AE290" s="184"/>
      <c r="AF290" s="184"/>
    </row>
    <row r="291" spans="1:32" s="1" customFormat="1" ht="19.5" customHeight="1" x14ac:dyDescent="0.3">
      <c r="A291" s="369"/>
      <c r="B291" s="396"/>
      <c r="C291" s="376"/>
      <c r="D291" s="384" t="s">
        <v>170</v>
      </c>
      <c r="E291" s="384" t="s">
        <v>586</v>
      </c>
      <c r="F291" s="384">
        <v>5</v>
      </c>
      <c r="G291" s="384" t="s">
        <v>32</v>
      </c>
      <c r="H291" s="386">
        <v>11</v>
      </c>
      <c r="I291" s="386"/>
      <c r="J291" s="384">
        <v>45</v>
      </c>
      <c r="K291" s="384"/>
      <c r="L291" s="384"/>
      <c r="M291" s="384"/>
      <c r="N291" s="230"/>
      <c r="O291" s="384">
        <v>3</v>
      </c>
      <c r="P291" s="230"/>
      <c r="Q291" s="230"/>
      <c r="R291" s="230"/>
      <c r="S291" s="230"/>
      <c r="T291" s="231"/>
      <c r="U291" s="384"/>
      <c r="V291" s="384"/>
      <c r="W291" s="384"/>
      <c r="X291" s="384"/>
      <c r="Y291" s="232">
        <v>1.6</v>
      </c>
      <c r="Z291" s="228" t="s">
        <v>640</v>
      </c>
      <c r="AE291" s="184"/>
      <c r="AF291" s="184"/>
    </row>
    <row r="292" spans="1:32" s="1" customFormat="1" ht="19.5" customHeight="1" x14ac:dyDescent="0.3">
      <c r="A292" s="369"/>
      <c r="B292" s="396"/>
      <c r="C292" s="376"/>
      <c r="D292" s="384" t="s">
        <v>170</v>
      </c>
      <c r="E292" s="384" t="s">
        <v>587</v>
      </c>
      <c r="F292" s="384">
        <v>5</v>
      </c>
      <c r="G292" s="384" t="s">
        <v>32</v>
      </c>
      <c r="H292" s="386">
        <v>10</v>
      </c>
      <c r="I292" s="386"/>
      <c r="J292" s="384">
        <v>45</v>
      </c>
      <c r="K292" s="384"/>
      <c r="L292" s="384"/>
      <c r="M292" s="384"/>
      <c r="N292" s="230"/>
      <c r="O292" s="384"/>
      <c r="P292" s="230"/>
      <c r="Q292" s="230"/>
      <c r="R292" s="230"/>
      <c r="S292" s="230"/>
      <c r="T292" s="231"/>
      <c r="U292" s="384"/>
      <c r="V292" s="384"/>
      <c r="W292" s="384"/>
      <c r="X292" s="384"/>
      <c r="Y292" s="232">
        <v>1.5</v>
      </c>
      <c r="Z292" s="228" t="s">
        <v>640</v>
      </c>
      <c r="AE292" s="184"/>
      <c r="AF292" s="184"/>
    </row>
    <row r="293" spans="1:32" s="1" customFormat="1" ht="19.5" customHeight="1" x14ac:dyDescent="0.3">
      <c r="A293" s="369"/>
      <c r="B293" s="396"/>
      <c r="C293" s="376"/>
      <c r="D293" s="384" t="s">
        <v>61</v>
      </c>
      <c r="E293" s="384" t="s">
        <v>307</v>
      </c>
      <c r="F293" s="384">
        <v>5</v>
      </c>
      <c r="G293" s="384" t="s">
        <v>32</v>
      </c>
      <c r="H293" s="386">
        <v>11</v>
      </c>
      <c r="I293" s="386"/>
      <c r="J293" s="384">
        <v>45</v>
      </c>
      <c r="K293" s="384"/>
      <c r="L293" s="384"/>
      <c r="M293" s="384"/>
      <c r="N293" s="230"/>
      <c r="O293" s="384">
        <v>3</v>
      </c>
      <c r="P293" s="230"/>
      <c r="Q293" s="230"/>
      <c r="R293" s="230"/>
      <c r="S293" s="230"/>
      <c r="T293" s="231"/>
      <c r="U293" s="384"/>
      <c r="V293" s="384"/>
      <c r="W293" s="384"/>
      <c r="X293" s="384"/>
      <c r="Y293" s="232">
        <v>1.6</v>
      </c>
      <c r="Z293" s="228" t="s">
        <v>627</v>
      </c>
      <c r="AE293" s="184"/>
      <c r="AF293" s="184"/>
    </row>
    <row r="294" spans="1:32" s="1" customFormat="1" ht="19.5" customHeight="1" x14ac:dyDescent="0.3">
      <c r="A294" s="369"/>
      <c r="B294" s="396"/>
      <c r="C294" s="376"/>
      <c r="D294" s="225" t="s">
        <v>44</v>
      </c>
      <c r="E294" s="386" t="s">
        <v>308</v>
      </c>
      <c r="F294" s="384">
        <v>5</v>
      </c>
      <c r="G294" s="384" t="s">
        <v>32</v>
      </c>
      <c r="H294" s="386">
        <v>7</v>
      </c>
      <c r="I294" s="386"/>
      <c r="J294" s="384">
        <v>45</v>
      </c>
      <c r="K294" s="384"/>
      <c r="L294" s="384"/>
      <c r="M294" s="384"/>
      <c r="N294" s="230"/>
      <c r="O294" s="384">
        <v>3</v>
      </c>
      <c r="P294" s="230"/>
      <c r="Q294" s="230"/>
      <c r="R294" s="230"/>
      <c r="S294" s="230"/>
      <c r="T294" s="231"/>
      <c r="U294" s="384"/>
      <c r="V294" s="384"/>
      <c r="W294" s="384"/>
      <c r="X294" s="384"/>
      <c r="Y294" s="232">
        <v>1.6</v>
      </c>
      <c r="Z294" s="228" t="s">
        <v>640</v>
      </c>
      <c r="AE294" s="184"/>
      <c r="AF294" s="184"/>
    </row>
    <row r="295" spans="1:32" s="1" customFormat="1" ht="19.5" customHeight="1" x14ac:dyDescent="0.3">
      <c r="A295" s="369"/>
      <c r="B295" s="396"/>
      <c r="C295" s="376"/>
      <c r="D295" s="225" t="s">
        <v>43</v>
      </c>
      <c r="E295" s="386" t="s">
        <v>309</v>
      </c>
      <c r="F295" s="384">
        <v>5</v>
      </c>
      <c r="G295" s="384" t="s">
        <v>32</v>
      </c>
      <c r="H295" s="386">
        <v>7</v>
      </c>
      <c r="I295" s="386"/>
      <c r="J295" s="384"/>
      <c r="K295" s="384"/>
      <c r="L295" s="384"/>
      <c r="M295" s="384"/>
      <c r="N295" s="230"/>
      <c r="O295" s="384"/>
      <c r="P295" s="230"/>
      <c r="Q295" s="230"/>
      <c r="R295" s="230"/>
      <c r="S295" s="230"/>
      <c r="T295" s="231"/>
      <c r="U295" s="384"/>
      <c r="V295" s="384"/>
      <c r="W295" s="384"/>
      <c r="X295" s="384"/>
      <c r="Y295" s="232"/>
      <c r="Z295" s="228" t="s">
        <v>640</v>
      </c>
      <c r="AE295" s="184"/>
      <c r="AF295" s="184"/>
    </row>
    <row r="296" spans="1:32" s="1" customFormat="1" ht="19.5" customHeight="1" x14ac:dyDescent="0.3">
      <c r="A296" s="369"/>
      <c r="B296" s="396"/>
      <c r="C296" s="376"/>
      <c r="D296" s="225" t="s">
        <v>41</v>
      </c>
      <c r="E296" s="384" t="s">
        <v>317</v>
      </c>
      <c r="F296" s="384">
        <v>5</v>
      </c>
      <c r="G296" s="384" t="s">
        <v>32</v>
      </c>
      <c r="H296" s="386">
        <v>6</v>
      </c>
      <c r="I296" s="386"/>
      <c r="J296" s="384">
        <v>45</v>
      </c>
      <c r="K296" s="384"/>
      <c r="L296" s="384"/>
      <c r="M296" s="384"/>
      <c r="N296" s="230"/>
      <c r="O296" s="384">
        <v>3</v>
      </c>
      <c r="P296" s="230"/>
      <c r="Q296" s="230"/>
      <c r="R296" s="230"/>
      <c r="S296" s="230"/>
      <c r="T296" s="231"/>
      <c r="U296" s="384"/>
      <c r="V296" s="384"/>
      <c r="W296" s="384"/>
      <c r="X296" s="384"/>
      <c r="Y296" s="232">
        <v>1.6</v>
      </c>
      <c r="Z296" s="228" t="s">
        <v>628</v>
      </c>
      <c r="AE296" s="184"/>
      <c r="AF296" s="184"/>
    </row>
    <row r="297" spans="1:32" s="1" customFormat="1" ht="19.5" customHeight="1" x14ac:dyDescent="0.3">
      <c r="A297" s="369"/>
      <c r="B297" s="396"/>
      <c r="C297" s="376"/>
      <c r="D297" s="384" t="s">
        <v>51</v>
      </c>
      <c r="E297" s="384" t="s">
        <v>314</v>
      </c>
      <c r="F297" s="384">
        <v>5</v>
      </c>
      <c r="G297" s="384" t="s">
        <v>32</v>
      </c>
      <c r="H297" s="386">
        <v>9</v>
      </c>
      <c r="I297" s="386"/>
      <c r="J297" s="384"/>
      <c r="K297" s="384"/>
      <c r="L297" s="384"/>
      <c r="M297" s="384"/>
      <c r="N297" s="230"/>
      <c r="O297" s="384"/>
      <c r="P297" s="230"/>
      <c r="Q297" s="230"/>
      <c r="R297" s="230"/>
      <c r="S297" s="230"/>
      <c r="T297" s="231"/>
      <c r="U297" s="384"/>
      <c r="V297" s="384"/>
      <c r="W297" s="384"/>
      <c r="X297" s="384"/>
      <c r="Y297" s="232"/>
      <c r="Z297" s="228" t="s">
        <v>628</v>
      </c>
      <c r="AE297" s="184"/>
      <c r="AF297" s="184"/>
    </row>
    <row r="298" spans="1:32" s="1" customFormat="1" ht="19.5" customHeight="1" x14ac:dyDescent="0.3">
      <c r="A298" s="369"/>
      <c r="B298" s="396"/>
      <c r="C298" s="376"/>
      <c r="D298" s="386" t="s">
        <v>60</v>
      </c>
      <c r="E298" s="386" t="s">
        <v>310</v>
      </c>
      <c r="F298" s="384">
        <v>5</v>
      </c>
      <c r="G298" s="384" t="s">
        <v>32</v>
      </c>
      <c r="H298" s="386">
        <v>16</v>
      </c>
      <c r="I298" s="386"/>
      <c r="J298" s="384">
        <v>45</v>
      </c>
      <c r="K298" s="384"/>
      <c r="L298" s="384"/>
      <c r="M298" s="384"/>
      <c r="N298" s="230"/>
      <c r="O298" s="384">
        <v>3</v>
      </c>
      <c r="P298" s="230"/>
      <c r="Q298" s="230"/>
      <c r="R298" s="230"/>
      <c r="S298" s="230"/>
      <c r="T298" s="231"/>
      <c r="U298" s="384"/>
      <c r="V298" s="384"/>
      <c r="W298" s="384"/>
      <c r="X298" s="384"/>
      <c r="Y298" s="232">
        <v>1.6</v>
      </c>
      <c r="Z298" s="228" t="s">
        <v>627</v>
      </c>
      <c r="AE298" s="184"/>
      <c r="AF298" s="184"/>
    </row>
    <row r="299" spans="1:32" s="1" customFormat="1" ht="19.5" customHeight="1" x14ac:dyDescent="0.3">
      <c r="A299" s="369"/>
      <c r="B299" s="396"/>
      <c r="C299" s="376"/>
      <c r="D299" s="225" t="s">
        <v>114</v>
      </c>
      <c r="E299" s="384" t="s">
        <v>312</v>
      </c>
      <c r="F299" s="384">
        <v>5</v>
      </c>
      <c r="G299" s="384" t="s">
        <v>32</v>
      </c>
      <c r="H299" s="386">
        <v>14</v>
      </c>
      <c r="I299" s="386"/>
      <c r="J299" s="384">
        <v>45</v>
      </c>
      <c r="K299" s="384"/>
      <c r="L299" s="384"/>
      <c r="M299" s="384"/>
      <c r="N299" s="230"/>
      <c r="O299" s="384">
        <v>3</v>
      </c>
      <c r="P299" s="230"/>
      <c r="Q299" s="230"/>
      <c r="R299" s="230"/>
      <c r="S299" s="230"/>
      <c r="T299" s="231"/>
      <c r="U299" s="384"/>
      <c r="V299" s="384"/>
      <c r="W299" s="384"/>
      <c r="X299" s="384"/>
      <c r="Y299" s="232">
        <v>1.6</v>
      </c>
      <c r="Z299" s="228" t="s">
        <v>629</v>
      </c>
      <c r="AE299" s="184"/>
      <c r="AF299" s="184"/>
    </row>
    <row r="300" spans="1:32" s="1" customFormat="1" ht="19.5" customHeight="1" x14ac:dyDescent="0.3">
      <c r="A300" s="369"/>
      <c r="B300" s="396"/>
      <c r="C300" s="376"/>
      <c r="D300" s="225" t="s">
        <v>46</v>
      </c>
      <c r="E300" s="386" t="s">
        <v>313</v>
      </c>
      <c r="F300" s="384">
        <v>5</v>
      </c>
      <c r="G300" s="384" t="s">
        <v>32</v>
      </c>
      <c r="H300" s="386">
        <v>12</v>
      </c>
      <c r="I300" s="386"/>
      <c r="J300" s="384">
        <v>45</v>
      </c>
      <c r="K300" s="384"/>
      <c r="L300" s="384"/>
      <c r="M300" s="384"/>
      <c r="N300" s="230"/>
      <c r="O300" s="384">
        <v>3</v>
      </c>
      <c r="P300" s="230"/>
      <c r="Q300" s="230"/>
      <c r="R300" s="230"/>
      <c r="S300" s="230"/>
      <c r="T300" s="231"/>
      <c r="U300" s="384"/>
      <c r="V300" s="384"/>
      <c r="W300" s="384"/>
      <c r="X300" s="384"/>
      <c r="Y300" s="232">
        <v>1.6</v>
      </c>
      <c r="Z300" s="228" t="s">
        <v>629</v>
      </c>
      <c r="AE300" s="184"/>
      <c r="AF300" s="184"/>
    </row>
    <row r="301" spans="1:32" s="1" customFormat="1" ht="19.5" customHeight="1" x14ac:dyDescent="0.3">
      <c r="A301" s="369"/>
      <c r="B301" s="396"/>
      <c r="C301" s="376"/>
      <c r="D301" s="225" t="s">
        <v>52</v>
      </c>
      <c r="E301" s="386" t="s">
        <v>588</v>
      </c>
      <c r="F301" s="384">
        <v>5</v>
      </c>
      <c r="G301" s="384" t="s">
        <v>32</v>
      </c>
      <c r="H301" s="386">
        <v>15</v>
      </c>
      <c r="I301" s="386"/>
      <c r="J301" s="384">
        <v>45</v>
      </c>
      <c r="K301" s="384"/>
      <c r="L301" s="384"/>
      <c r="M301" s="384">
        <v>15</v>
      </c>
      <c r="N301" s="230"/>
      <c r="O301" s="384">
        <v>3</v>
      </c>
      <c r="P301" s="230"/>
      <c r="Q301" s="230"/>
      <c r="R301" s="230"/>
      <c r="S301" s="230"/>
      <c r="T301" s="231"/>
      <c r="U301" s="384"/>
      <c r="V301" s="384"/>
      <c r="W301" s="384"/>
      <c r="X301" s="384"/>
      <c r="Y301" s="232">
        <v>2.1</v>
      </c>
      <c r="Z301" s="228" t="s">
        <v>628</v>
      </c>
      <c r="AE301" s="184"/>
      <c r="AF301" s="184"/>
    </row>
    <row r="302" spans="1:32" s="1" customFormat="1" ht="19.5" customHeight="1" x14ac:dyDescent="0.3">
      <c r="A302" s="369"/>
      <c r="B302" s="396"/>
      <c r="C302" s="376"/>
      <c r="D302" s="225" t="s">
        <v>52</v>
      </c>
      <c r="E302" s="386" t="s">
        <v>589</v>
      </c>
      <c r="F302" s="384">
        <v>5</v>
      </c>
      <c r="G302" s="384" t="s">
        <v>32</v>
      </c>
      <c r="H302" s="386">
        <v>15</v>
      </c>
      <c r="I302" s="386"/>
      <c r="J302" s="384">
        <v>45</v>
      </c>
      <c r="K302" s="384"/>
      <c r="L302" s="384"/>
      <c r="M302" s="384"/>
      <c r="N302" s="230"/>
      <c r="O302" s="384"/>
      <c r="P302" s="230"/>
      <c r="Q302" s="230"/>
      <c r="R302" s="230"/>
      <c r="S302" s="230"/>
      <c r="T302" s="231"/>
      <c r="U302" s="384"/>
      <c r="V302" s="384"/>
      <c r="W302" s="384"/>
      <c r="X302" s="384"/>
      <c r="Y302" s="232">
        <v>1.5</v>
      </c>
      <c r="Z302" s="228" t="s">
        <v>627</v>
      </c>
      <c r="AE302" s="184"/>
      <c r="AF302" s="184"/>
    </row>
    <row r="303" spans="1:32" s="1" customFormat="1" ht="19.5" customHeight="1" x14ac:dyDescent="0.3">
      <c r="A303" s="369"/>
      <c r="B303" s="396"/>
      <c r="C303" s="376"/>
      <c r="D303" s="225" t="s">
        <v>52</v>
      </c>
      <c r="E303" s="386" t="s">
        <v>590</v>
      </c>
      <c r="F303" s="384">
        <v>5</v>
      </c>
      <c r="G303" s="384" t="s">
        <v>32</v>
      </c>
      <c r="H303" s="386">
        <v>15</v>
      </c>
      <c r="I303" s="386"/>
      <c r="J303" s="384">
        <v>45</v>
      </c>
      <c r="K303" s="384"/>
      <c r="L303" s="384"/>
      <c r="M303" s="384"/>
      <c r="N303" s="230"/>
      <c r="O303" s="384">
        <v>3</v>
      </c>
      <c r="P303" s="230"/>
      <c r="Q303" s="230"/>
      <c r="R303" s="230"/>
      <c r="S303" s="230"/>
      <c r="T303" s="231"/>
      <c r="U303" s="384"/>
      <c r="V303" s="384"/>
      <c r="W303" s="384"/>
      <c r="X303" s="384"/>
      <c r="Y303" s="232">
        <v>1.6</v>
      </c>
      <c r="Z303" s="228" t="s">
        <v>627</v>
      </c>
      <c r="AE303" s="184"/>
      <c r="AF303" s="184"/>
    </row>
    <row r="304" spans="1:32" s="1" customFormat="1" ht="19.5" customHeight="1" x14ac:dyDescent="0.3">
      <c r="A304" s="369"/>
      <c r="B304" s="396"/>
      <c r="C304" s="376"/>
      <c r="D304" s="225" t="s">
        <v>52</v>
      </c>
      <c r="E304" s="386" t="s">
        <v>591</v>
      </c>
      <c r="F304" s="384">
        <v>5</v>
      </c>
      <c r="G304" s="384" t="s">
        <v>32</v>
      </c>
      <c r="H304" s="386">
        <v>15</v>
      </c>
      <c r="I304" s="386"/>
      <c r="J304" s="384">
        <v>45</v>
      </c>
      <c r="K304" s="384"/>
      <c r="L304" s="384"/>
      <c r="M304" s="384"/>
      <c r="N304" s="230"/>
      <c r="O304" s="384"/>
      <c r="P304" s="230"/>
      <c r="Q304" s="230"/>
      <c r="R304" s="230"/>
      <c r="S304" s="230"/>
      <c r="T304" s="231"/>
      <c r="U304" s="384"/>
      <c r="V304" s="384"/>
      <c r="W304" s="384"/>
      <c r="X304" s="384"/>
      <c r="Y304" s="232">
        <v>1.5</v>
      </c>
      <c r="Z304" s="228" t="s">
        <v>628</v>
      </c>
      <c r="AB304" s="1">
        <v>58.04</v>
      </c>
      <c r="AC304" s="1">
        <v>103</v>
      </c>
      <c r="AE304" s="184"/>
      <c r="AF304" s="184"/>
    </row>
    <row r="305" spans="1:32" s="1" customFormat="1" ht="19.5" customHeight="1" x14ac:dyDescent="0.3">
      <c r="A305" s="369"/>
      <c r="B305" s="404" t="s">
        <v>342</v>
      </c>
      <c r="C305" s="382"/>
      <c r="D305" s="225" t="s">
        <v>52</v>
      </c>
      <c r="E305" s="386" t="s">
        <v>547</v>
      </c>
      <c r="F305" s="384">
        <v>5</v>
      </c>
      <c r="G305" s="386" t="s">
        <v>35</v>
      </c>
      <c r="H305" s="386">
        <v>15</v>
      </c>
      <c r="I305" s="386"/>
      <c r="J305" s="384">
        <v>45</v>
      </c>
      <c r="K305" s="384"/>
      <c r="L305" s="384"/>
      <c r="M305" s="384">
        <v>15</v>
      </c>
      <c r="N305" s="230"/>
      <c r="O305" s="384">
        <v>3</v>
      </c>
      <c r="P305" s="230"/>
      <c r="Q305" s="230"/>
      <c r="R305" s="230"/>
      <c r="S305" s="230"/>
      <c r="T305" s="231"/>
      <c r="U305" s="384"/>
      <c r="V305" s="384"/>
      <c r="W305" s="384"/>
      <c r="X305" s="384"/>
      <c r="Y305" s="232">
        <v>2.1</v>
      </c>
      <c r="Z305" s="228" t="s">
        <v>630</v>
      </c>
      <c r="AE305" s="184"/>
      <c r="AF305" s="184"/>
    </row>
    <row r="306" spans="1:32" s="1" customFormat="1" ht="19.5" customHeight="1" x14ac:dyDescent="0.3">
      <c r="A306" s="369"/>
      <c r="B306" s="405"/>
      <c r="C306" s="383"/>
      <c r="D306" s="225" t="s">
        <v>52</v>
      </c>
      <c r="E306" s="386" t="s">
        <v>549</v>
      </c>
      <c r="F306" s="384">
        <v>5</v>
      </c>
      <c r="G306" s="386" t="s">
        <v>35</v>
      </c>
      <c r="H306" s="386">
        <v>15</v>
      </c>
      <c r="I306" s="386"/>
      <c r="J306" s="384">
        <v>45</v>
      </c>
      <c r="K306" s="384"/>
      <c r="L306" s="384"/>
      <c r="M306" s="384"/>
      <c r="N306" s="230"/>
      <c r="O306" s="384"/>
      <c r="P306" s="230"/>
      <c r="Q306" s="230"/>
      <c r="R306" s="230"/>
      <c r="S306" s="230"/>
      <c r="T306" s="231"/>
      <c r="U306" s="384"/>
      <c r="V306" s="384"/>
      <c r="W306" s="384"/>
      <c r="X306" s="384"/>
      <c r="Y306" s="232">
        <v>1.5</v>
      </c>
      <c r="Z306" s="228" t="s">
        <v>631</v>
      </c>
      <c r="AE306" s="184"/>
      <c r="AF306" s="184"/>
    </row>
    <row r="307" spans="1:32" s="1" customFormat="1" ht="19.5" customHeight="1" x14ac:dyDescent="0.3">
      <c r="A307" s="369"/>
      <c r="B307" s="405"/>
      <c r="C307" s="383"/>
      <c r="D307" s="225" t="s">
        <v>52</v>
      </c>
      <c r="E307" s="386" t="s">
        <v>551</v>
      </c>
      <c r="F307" s="384">
        <v>5</v>
      </c>
      <c r="G307" s="386" t="s">
        <v>35</v>
      </c>
      <c r="H307" s="386">
        <v>15</v>
      </c>
      <c r="I307" s="386"/>
      <c r="J307" s="384">
        <v>45</v>
      </c>
      <c r="K307" s="384"/>
      <c r="L307" s="384"/>
      <c r="M307" s="384"/>
      <c r="N307" s="230"/>
      <c r="O307" s="384">
        <v>3</v>
      </c>
      <c r="P307" s="230"/>
      <c r="Q307" s="230"/>
      <c r="R307" s="230"/>
      <c r="S307" s="230"/>
      <c r="T307" s="231"/>
      <c r="U307" s="384"/>
      <c r="V307" s="384"/>
      <c r="W307" s="384"/>
      <c r="X307" s="384"/>
      <c r="Y307" s="232">
        <v>1.6</v>
      </c>
      <c r="Z307" s="228" t="s">
        <v>630</v>
      </c>
      <c r="AE307" s="184"/>
      <c r="AF307" s="184"/>
    </row>
    <row r="308" spans="1:32" s="1" customFormat="1" ht="19.5" customHeight="1" x14ac:dyDescent="0.3">
      <c r="A308" s="369"/>
      <c r="B308" s="405"/>
      <c r="C308" s="383"/>
      <c r="D308" s="225" t="s">
        <v>52</v>
      </c>
      <c r="E308" s="386" t="s">
        <v>552</v>
      </c>
      <c r="F308" s="384">
        <v>5</v>
      </c>
      <c r="G308" s="386" t="s">
        <v>35</v>
      </c>
      <c r="H308" s="386">
        <v>14</v>
      </c>
      <c r="I308" s="386"/>
      <c r="J308" s="384">
        <v>45</v>
      </c>
      <c r="K308" s="384"/>
      <c r="L308" s="384"/>
      <c r="M308" s="384"/>
      <c r="N308" s="230"/>
      <c r="O308" s="384"/>
      <c r="P308" s="230"/>
      <c r="Q308" s="230"/>
      <c r="R308" s="230"/>
      <c r="S308" s="230"/>
      <c r="T308" s="231"/>
      <c r="U308" s="384"/>
      <c r="V308" s="384"/>
      <c r="W308" s="384"/>
      <c r="X308" s="384"/>
      <c r="Y308" s="232">
        <v>1.5</v>
      </c>
      <c r="Z308" s="228" t="s">
        <v>631</v>
      </c>
      <c r="AE308" s="184"/>
      <c r="AF308" s="184"/>
    </row>
    <row r="309" spans="1:32" s="1" customFormat="1" ht="19.5" customHeight="1" x14ac:dyDescent="0.3">
      <c r="A309" s="369"/>
      <c r="B309" s="405"/>
      <c r="C309" s="383"/>
      <c r="D309" s="386" t="s">
        <v>81</v>
      </c>
      <c r="E309" s="386" t="s">
        <v>553</v>
      </c>
      <c r="F309" s="384">
        <v>5</v>
      </c>
      <c r="G309" s="386" t="s">
        <v>35</v>
      </c>
      <c r="H309" s="386">
        <v>15</v>
      </c>
      <c r="I309" s="386"/>
      <c r="J309" s="384">
        <v>45</v>
      </c>
      <c r="K309" s="384"/>
      <c r="L309" s="384"/>
      <c r="M309" s="384"/>
      <c r="N309" s="230"/>
      <c r="O309" s="384">
        <v>3</v>
      </c>
      <c r="P309" s="230"/>
      <c r="Q309" s="230"/>
      <c r="R309" s="230"/>
      <c r="S309" s="230"/>
      <c r="T309" s="231"/>
      <c r="U309" s="384"/>
      <c r="V309" s="384"/>
      <c r="W309" s="384"/>
      <c r="X309" s="384"/>
      <c r="Y309" s="232">
        <v>1.6</v>
      </c>
      <c r="Z309" s="228" t="s">
        <v>632</v>
      </c>
      <c r="AE309" s="184"/>
      <c r="AF309" s="184"/>
    </row>
    <row r="310" spans="1:32" s="1" customFormat="1" ht="19.5" customHeight="1" x14ac:dyDescent="0.3">
      <c r="A310" s="369"/>
      <c r="B310" s="405"/>
      <c r="C310" s="383"/>
      <c r="D310" s="386" t="s">
        <v>81</v>
      </c>
      <c r="E310" s="386" t="s">
        <v>554</v>
      </c>
      <c r="F310" s="384">
        <v>5</v>
      </c>
      <c r="G310" s="386" t="s">
        <v>35</v>
      </c>
      <c r="H310" s="386">
        <v>15</v>
      </c>
      <c r="I310" s="386"/>
      <c r="J310" s="384">
        <v>45</v>
      </c>
      <c r="K310" s="384"/>
      <c r="L310" s="384"/>
      <c r="M310" s="384"/>
      <c r="N310" s="230"/>
      <c r="O310" s="384"/>
      <c r="P310" s="230"/>
      <c r="Q310" s="230"/>
      <c r="R310" s="230"/>
      <c r="S310" s="230"/>
      <c r="T310" s="231"/>
      <c r="U310" s="384"/>
      <c r="V310" s="384"/>
      <c r="W310" s="384"/>
      <c r="X310" s="384"/>
      <c r="Y310" s="232">
        <v>1.5</v>
      </c>
      <c r="Z310" s="228" t="s">
        <v>633</v>
      </c>
      <c r="AE310" s="184"/>
      <c r="AF310" s="184"/>
    </row>
    <row r="311" spans="1:32" s="1" customFormat="1" ht="19.5" customHeight="1" x14ac:dyDescent="0.3">
      <c r="A311" s="369"/>
      <c r="B311" s="405"/>
      <c r="C311" s="383"/>
      <c r="D311" s="384" t="s">
        <v>170</v>
      </c>
      <c r="E311" s="384" t="s">
        <v>556</v>
      </c>
      <c r="F311" s="384">
        <v>5</v>
      </c>
      <c r="G311" s="384" t="s">
        <v>35</v>
      </c>
      <c r="H311" s="386">
        <v>13</v>
      </c>
      <c r="I311" s="386"/>
      <c r="J311" s="384">
        <v>45</v>
      </c>
      <c r="K311" s="384"/>
      <c r="L311" s="384"/>
      <c r="M311" s="384"/>
      <c r="N311" s="230"/>
      <c r="O311" s="384">
        <v>3</v>
      </c>
      <c r="P311" s="230"/>
      <c r="Q311" s="230"/>
      <c r="R311" s="230"/>
      <c r="S311" s="230"/>
      <c r="T311" s="231"/>
      <c r="U311" s="384"/>
      <c r="V311" s="384"/>
      <c r="W311" s="384"/>
      <c r="X311" s="384"/>
      <c r="Y311" s="232">
        <v>1.6</v>
      </c>
      <c r="Z311" s="228" t="s">
        <v>633</v>
      </c>
      <c r="AE311" s="184"/>
      <c r="AF311" s="184"/>
    </row>
    <row r="312" spans="1:32" s="1" customFormat="1" ht="19.5" customHeight="1" x14ac:dyDescent="0.3">
      <c r="A312" s="369"/>
      <c r="B312" s="405"/>
      <c r="C312" s="383"/>
      <c r="D312" s="384" t="s">
        <v>170</v>
      </c>
      <c r="E312" s="384" t="s">
        <v>557</v>
      </c>
      <c r="F312" s="384">
        <v>5</v>
      </c>
      <c r="G312" s="384" t="s">
        <v>35</v>
      </c>
      <c r="H312" s="386">
        <v>12</v>
      </c>
      <c r="I312" s="386"/>
      <c r="J312" s="384">
        <v>45</v>
      </c>
      <c r="K312" s="384"/>
      <c r="L312" s="384"/>
      <c r="M312" s="384"/>
      <c r="N312" s="230"/>
      <c r="O312" s="384"/>
      <c r="P312" s="230"/>
      <c r="Q312" s="230"/>
      <c r="R312" s="230"/>
      <c r="S312" s="230"/>
      <c r="T312" s="231"/>
      <c r="U312" s="384"/>
      <c r="V312" s="384"/>
      <c r="W312" s="384"/>
      <c r="X312" s="384"/>
      <c r="Y312" s="232">
        <v>1.5</v>
      </c>
      <c r="Z312" s="228" t="s">
        <v>632</v>
      </c>
      <c r="AD312" s="1" t="s">
        <v>592</v>
      </c>
      <c r="AE312" s="184">
        <f>Y308+Y306+Y337+Y344+Y327+Y326+Y341+Y339</f>
        <v>12.999999999999998</v>
      </c>
      <c r="AF312" s="184">
        <f>Y315+Y316+Y322</f>
        <v>5.3000000000000007</v>
      </c>
    </row>
    <row r="313" spans="1:32" s="1" customFormat="1" ht="19.5" customHeight="1" x14ac:dyDescent="0.3">
      <c r="A313" s="369"/>
      <c r="B313" s="405"/>
      <c r="C313" s="383"/>
      <c r="D313" s="384" t="s">
        <v>170</v>
      </c>
      <c r="E313" s="384" t="s">
        <v>558</v>
      </c>
      <c r="F313" s="384">
        <v>5</v>
      </c>
      <c r="G313" s="384" t="s">
        <v>35</v>
      </c>
      <c r="H313" s="386">
        <v>13</v>
      </c>
      <c r="I313" s="386"/>
      <c r="J313" s="384">
        <v>45</v>
      </c>
      <c r="K313" s="384"/>
      <c r="L313" s="384"/>
      <c r="M313" s="384"/>
      <c r="N313" s="230"/>
      <c r="O313" s="384">
        <v>3</v>
      </c>
      <c r="P313" s="230"/>
      <c r="Q313" s="230"/>
      <c r="R313" s="230"/>
      <c r="S313" s="230"/>
      <c r="T313" s="231"/>
      <c r="U313" s="384"/>
      <c r="V313" s="384"/>
      <c r="W313" s="384"/>
      <c r="X313" s="384"/>
      <c r="Y313" s="232">
        <v>1.6</v>
      </c>
      <c r="Z313" s="228" t="s">
        <v>633</v>
      </c>
      <c r="AD313" s="1" t="s">
        <v>595</v>
      </c>
      <c r="AE313" s="184">
        <f>Y305+Y307+Y338+Y340+Y342+Y343</f>
        <v>9.7999999999999989</v>
      </c>
      <c r="AF313" s="184"/>
    </row>
    <row r="314" spans="1:32" s="1" customFormat="1" ht="19.5" customHeight="1" x14ac:dyDescent="0.3">
      <c r="A314" s="369"/>
      <c r="B314" s="405"/>
      <c r="C314" s="383"/>
      <c r="D314" s="384" t="s">
        <v>170</v>
      </c>
      <c r="E314" s="384" t="s">
        <v>559</v>
      </c>
      <c r="F314" s="384">
        <v>5</v>
      </c>
      <c r="G314" s="384" t="s">
        <v>35</v>
      </c>
      <c r="H314" s="386">
        <v>12</v>
      </c>
      <c r="I314" s="386"/>
      <c r="J314" s="384">
        <v>45</v>
      </c>
      <c r="K314" s="384"/>
      <c r="L314" s="384"/>
      <c r="M314" s="384"/>
      <c r="N314" s="230"/>
      <c r="O314" s="384"/>
      <c r="P314" s="230"/>
      <c r="Q314" s="230"/>
      <c r="R314" s="230"/>
      <c r="S314" s="230"/>
      <c r="T314" s="231"/>
      <c r="U314" s="384"/>
      <c r="V314" s="384"/>
      <c r="W314" s="384"/>
      <c r="X314" s="384"/>
      <c r="Y314" s="232">
        <v>1.5</v>
      </c>
      <c r="Z314" s="228" t="s">
        <v>632</v>
      </c>
      <c r="AD314" s="1" t="s">
        <v>594</v>
      </c>
      <c r="AE314" s="184" t="e">
        <f>Y318+Y321+Y324+Y328+Y330+Y332+Y334+Y336+#REF!+#REF!+#REF!+Y311+Y313+Y310</f>
        <v>#REF!</v>
      </c>
      <c r="AF314" s="184"/>
    </row>
    <row r="315" spans="1:32" s="1" customFormat="1" ht="19.5" customHeight="1" x14ac:dyDescent="0.3">
      <c r="A315" s="369"/>
      <c r="B315" s="405"/>
      <c r="C315" s="383"/>
      <c r="D315" s="384" t="s">
        <v>61</v>
      </c>
      <c r="E315" s="384" t="s">
        <v>298</v>
      </c>
      <c r="F315" s="384">
        <v>5</v>
      </c>
      <c r="G315" s="386" t="s">
        <v>35</v>
      </c>
      <c r="H315" s="386">
        <v>14</v>
      </c>
      <c r="I315" s="386"/>
      <c r="J315" s="384">
        <v>45</v>
      </c>
      <c r="K315" s="384"/>
      <c r="L315" s="384"/>
      <c r="M315" s="384"/>
      <c r="N315" s="230"/>
      <c r="O315" s="384">
        <v>3</v>
      </c>
      <c r="P315" s="230"/>
      <c r="Q315" s="230"/>
      <c r="R315" s="230"/>
      <c r="S315" s="230"/>
      <c r="T315" s="231"/>
      <c r="U315" s="384"/>
      <c r="V315" s="384"/>
      <c r="W315" s="384"/>
      <c r="X315" s="384"/>
      <c r="Y315" s="232">
        <v>1.6</v>
      </c>
      <c r="Z315" s="228" t="s">
        <v>631</v>
      </c>
      <c r="AD315" s="184" t="s">
        <v>593</v>
      </c>
      <c r="AE315" s="184">
        <f>Y309+Y312+Y314+Y317+Y319+Y320+Y323+Y325+Y329+Y331+Y333</f>
        <v>16.7</v>
      </c>
      <c r="AF315" s="184"/>
    </row>
    <row r="316" spans="1:32" s="1" customFormat="1" ht="19.5" customHeight="1" x14ac:dyDescent="0.3">
      <c r="A316" s="369"/>
      <c r="B316" s="405"/>
      <c r="C316" s="383"/>
      <c r="D316" s="225" t="s">
        <v>44</v>
      </c>
      <c r="E316" s="386" t="s">
        <v>561</v>
      </c>
      <c r="F316" s="384">
        <v>5</v>
      </c>
      <c r="G316" s="386" t="s">
        <v>35</v>
      </c>
      <c r="H316" s="386">
        <v>15</v>
      </c>
      <c r="I316" s="386"/>
      <c r="J316" s="384">
        <v>45</v>
      </c>
      <c r="K316" s="384"/>
      <c r="L316" s="384"/>
      <c r="M316" s="384">
        <v>15</v>
      </c>
      <c r="N316" s="230"/>
      <c r="O316" s="384">
        <v>3</v>
      </c>
      <c r="P316" s="230"/>
      <c r="Q316" s="230"/>
      <c r="R316" s="230"/>
      <c r="S316" s="230"/>
      <c r="T316" s="231"/>
      <c r="U316" s="384"/>
      <c r="V316" s="384"/>
      <c r="W316" s="384"/>
      <c r="X316" s="384"/>
      <c r="Y316" s="232">
        <v>2.1</v>
      </c>
      <c r="Z316" s="228" t="s">
        <v>631</v>
      </c>
      <c r="AE316" s="184"/>
      <c r="AF316" s="184"/>
    </row>
    <row r="317" spans="1:32" s="1" customFormat="1" ht="19.5" customHeight="1" x14ac:dyDescent="0.3">
      <c r="A317" s="369"/>
      <c r="B317" s="405"/>
      <c r="C317" s="383"/>
      <c r="D317" s="225" t="s">
        <v>44</v>
      </c>
      <c r="E317" s="386" t="s">
        <v>562</v>
      </c>
      <c r="F317" s="384">
        <v>5</v>
      </c>
      <c r="G317" s="386" t="s">
        <v>35</v>
      </c>
      <c r="H317" s="386">
        <v>15</v>
      </c>
      <c r="I317" s="386"/>
      <c r="J317" s="384">
        <v>45</v>
      </c>
      <c r="K317" s="384"/>
      <c r="L317" s="384"/>
      <c r="M317" s="384"/>
      <c r="N317" s="230"/>
      <c r="O317" s="384"/>
      <c r="P317" s="230"/>
      <c r="Q317" s="230"/>
      <c r="R317" s="230"/>
      <c r="S317" s="230"/>
      <c r="T317" s="231"/>
      <c r="U317" s="384"/>
      <c r="V317" s="384"/>
      <c r="W317" s="384"/>
      <c r="X317" s="384"/>
      <c r="Y317" s="232">
        <v>1.5</v>
      </c>
      <c r="Z317" s="228" t="s">
        <v>632</v>
      </c>
      <c r="AE317" s="184">
        <v>3.7</v>
      </c>
      <c r="AF317" s="184"/>
    </row>
    <row r="318" spans="1:32" s="1" customFormat="1" ht="19.5" customHeight="1" x14ac:dyDescent="0.3">
      <c r="A318" s="369"/>
      <c r="B318" s="405"/>
      <c r="C318" s="383"/>
      <c r="D318" s="384" t="s">
        <v>49</v>
      </c>
      <c r="E318" s="384" t="s">
        <v>563</v>
      </c>
      <c r="F318" s="384">
        <v>5</v>
      </c>
      <c r="G318" s="384" t="s">
        <v>35</v>
      </c>
      <c r="H318" s="386">
        <v>13</v>
      </c>
      <c r="I318" s="386"/>
      <c r="J318" s="384">
        <v>45</v>
      </c>
      <c r="K318" s="384"/>
      <c r="L318" s="384"/>
      <c r="M318" s="384"/>
      <c r="N318" s="230"/>
      <c r="O318" s="384">
        <v>3</v>
      </c>
      <c r="P318" s="230"/>
      <c r="Q318" s="230"/>
      <c r="R318" s="230"/>
      <c r="S318" s="230"/>
      <c r="T318" s="231"/>
      <c r="U318" s="384"/>
      <c r="V318" s="384"/>
      <c r="W318" s="384"/>
      <c r="X318" s="384"/>
      <c r="Y318" s="232">
        <v>1.6</v>
      </c>
      <c r="Z318" s="228" t="s">
        <v>633</v>
      </c>
      <c r="AE318" s="184">
        <v>12.9</v>
      </c>
      <c r="AF318" s="184"/>
    </row>
    <row r="319" spans="1:32" s="1" customFormat="1" ht="19.5" customHeight="1" x14ac:dyDescent="0.3">
      <c r="A319" s="369"/>
      <c r="B319" s="405"/>
      <c r="C319" s="383"/>
      <c r="D319" s="384" t="s">
        <v>49</v>
      </c>
      <c r="E319" s="384" t="s">
        <v>565</v>
      </c>
      <c r="F319" s="384">
        <v>5</v>
      </c>
      <c r="G319" s="384" t="s">
        <v>35</v>
      </c>
      <c r="H319" s="386">
        <v>14</v>
      </c>
      <c r="I319" s="386"/>
      <c r="J319" s="384">
        <v>45</v>
      </c>
      <c r="K319" s="384"/>
      <c r="L319" s="384"/>
      <c r="M319" s="384"/>
      <c r="N319" s="230"/>
      <c r="O319" s="384"/>
      <c r="P319" s="230"/>
      <c r="Q319" s="230"/>
      <c r="R319" s="230"/>
      <c r="S319" s="230"/>
      <c r="T319" s="231"/>
      <c r="U319" s="384"/>
      <c r="V319" s="384"/>
      <c r="W319" s="384"/>
      <c r="X319" s="384"/>
      <c r="Y319" s="232">
        <v>1.5</v>
      </c>
      <c r="Z319" s="228" t="s">
        <v>632</v>
      </c>
      <c r="AE319" s="184"/>
      <c r="AF319" s="184"/>
    </row>
    <row r="320" spans="1:32" s="1" customFormat="1" ht="19.5" customHeight="1" x14ac:dyDescent="0.3">
      <c r="A320" s="369"/>
      <c r="B320" s="405"/>
      <c r="C320" s="383"/>
      <c r="D320" s="384" t="s">
        <v>62</v>
      </c>
      <c r="E320" s="384" t="s">
        <v>292</v>
      </c>
      <c r="F320" s="384">
        <v>5</v>
      </c>
      <c r="G320" s="386" t="s">
        <v>35</v>
      </c>
      <c r="H320" s="386">
        <v>16</v>
      </c>
      <c r="I320" s="386"/>
      <c r="J320" s="384">
        <v>45</v>
      </c>
      <c r="K320" s="384"/>
      <c r="L320" s="384"/>
      <c r="M320" s="384"/>
      <c r="N320" s="230"/>
      <c r="O320" s="384">
        <v>3</v>
      </c>
      <c r="P320" s="230"/>
      <c r="Q320" s="230"/>
      <c r="R320" s="230"/>
      <c r="S320" s="230"/>
      <c r="T320" s="231"/>
      <c r="U320" s="384"/>
      <c r="V320" s="384"/>
      <c r="W320" s="384"/>
      <c r="X320" s="384"/>
      <c r="Y320" s="232">
        <v>1.6</v>
      </c>
      <c r="Z320" s="228" t="s">
        <v>632</v>
      </c>
      <c r="AE320" s="184">
        <v>80.900000000000006</v>
      </c>
      <c r="AF320" s="184"/>
    </row>
    <row r="321" spans="1:32" s="1" customFormat="1" ht="19.5" customHeight="1" x14ac:dyDescent="0.3">
      <c r="A321" s="369"/>
      <c r="B321" s="405"/>
      <c r="C321" s="383"/>
      <c r="D321" s="386" t="s">
        <v>210</v>
      </c>
      <c r="E321" s="386" t="s">
        <v>293</v>
      </c>
      <c r="F321" s="384">
        <v>5</v>
      </c>
      <c r="G321" s="386" t="s">
        <v>35</v>
      </c>
      <c r="H321" s="386">
        <v>15</v>
      </c>
      <c r="I321" s="386"/>
      <c r="J321" s="384">
        <v>45</v>
      </c>
      <c r="K321" s="384"/>
      <c r="L321" s="384"/>
      <c r="M321" s="384"/>
      <c r="N321" s="230"/>
      <c r="O321" s="384">
        <v>3</v>
      </c>
      <c r="P321" s="230"/>
      <c r="Q321" s="230"/>
      <c r="R321" s="230"/>
      <c r="S321" s="230"/>
      <c r="T321" s="231"/>
      <c r="U321" s="384"/>
      <c r="V321" s="384"/>
      <c r="W321" s="384"/>
      <c r="X321" s="384"/>
      <c r="Y321" s="232">
        <v>1.6</v>
      </c>
      <c r="Z321" s="228" t="s">
        <v>633</v>
      </c>
      <c r="AE321" s="184"/>
      <c r="AF321" s="184"/>
    </row>
    <row r="322" spans="1:32" s="1" customFormat="1" ht="19.5" customHeight="1" x14ac:dyDescent="0.3">
      <c r="A322" s="369"/>
      <c r="B322" s="405"/>
      <c r="C322" s="383"/>
      <c r="D322" s="225" t="s">
        <v>43</v>
      </c>
      <c r="E322" s="386" t="s">
        <v>566</v>
      </c>
      <c r="F322" s="384">
        <v>5</v>
      </c>
      <c r="G322" s="386" t="s">
        <v>35</v>
      </c>
      <c r="H322" s="386">
        <v>11</v>
      </c>
      <c r="I322" s="386"/>
      <c r="J322" s="384">
        <v>45</v>
      </c>
      <c r="K322" s="384"/>
      <c r="L322" s="384"/>
      <c r="M322" s="384"/>
      <c r="N322" s="230"/>
      <c r="O322" s="384">
        <v>3</v>
      </c>
      <c r="P322" s="230"/>
      <c r="Q322" s="230"/>
      <c r="R322" s="230"/>
      <c r="S322" s="230"/>
      <c r="T322" s="231"/>
      <c r="U322" s="384"/>
      <c r="V322" s="384"/>
      <c r="W322" s="384"/>
      <c r="X322" s="384"/>
      <c r="Y322" s="232">
        <v>1.6</v>
      </c>
      <c r="Z322" s="228" t="s">
        <v>631</v>
      </c>
      <c r="AE322" s="184"/>
      <c r="AF322" s="184"/>
    </row>
    <row r="323" spans="1:32" s="1" customFormat="1" ht="19.5" customHeight="1" x14ac:dyDescent="0.3">
      <c r="A323" s="369"/>
      <c r="B323" s="405"/>
      <c r="C323" s="383"/>
      <c r="D323" s="225" t="s">
        <v>43</v>
      </c>
      <c r="E323" s="386" t="s">
        <v>567</v>
      </c>
      <c r="F323" s="384">
        <v>5</v>
      </c>
      <c r="G323" s="386" t="s">
        <v>35</v>
      </c>
      <c r="H323" s="386">
        <v>12</v>
      </c>
      <c r="I323" s="386"/>
      <c r="J323" s="384">
        <v>45</v>
      </c>
      <c r="K323" s="384"/>
      <c r="L323" s="384"/>
      <c r="M323" s="384"/>
      <c r="N323" s="230"/>
      <c r="O323" s="384">
        <v>3</v>
      </c>
      <c r="P323" s="230"/>
      <c r="Q323" s="230"/>
      <c r="R323" s="230"/>
      <c r="S323" s="230"/>
      <c r="T323" s="231"/>
      <c r="U323" s="384"/>
      <c r="V323" s="384"/>
      <c r="W323" s="384"/>
      <c r="X323" s="384"/>
      <c r="Y323" s="232">
        <v>1.5</v>
      </c>
      <c r="Z323" s="228" t="s">
        <v>632</v>
      </c>
      <c r="AE323" s="184"/>
      <c r="AF323" s="184"/>
    </row>
    <row r="324" spans="1:32" s="1" customFormat="1" ht="19.5" customHeight="1" x14ac:dyDescent="0.3">
      <c r="A324" s="369"/>
      <c r="B324" s="405"/>
      <c r="C324" s="383"/>
      <c r="D324" s="386" t="s">
        <v>60</v>
      </c>
      <c r="E324" s="386" t="s">
        <v>568</v>
      </c>
      <c r="F324" s="384">
        <v>5</v>
      </c>
      <c r="G324" s="384" t="s">
        <v>35</v>
      </c>
      <c r="H324" s="386">
        <v>15</v>
      </c>
      <c r="I324" s="386"/>
      <c r="J324" s="384">
        <v>45</v>
      </c>
      <c r="K324" s="384"/>
      <c r="L324" s="384"/>
      <c r="M324" s="384"/>
      <c r="N324" s="230"/>
      <c r="O324" s="384">
        <v>3</v>
      </c>
      <c r="P324" s="230"/>
      <c r="Q324" s="230"/>
      <c r="R324" s="230"/>
      <c r="S324" s="230"/>
      <c r="T324" s="231"/>
      <c r="U324" s="384"/>
      <c r="V324" s="384"/>
      <c r="W324" s="384"/>
      <c r="X324" s="384"/>
      <c r="Y324" s="232">
        <v>1.6</v>
      </c>
      <c r="Z324" s="228" t="s">
        <v>633</v>
      </c>
      <c r="AE324" s="184"/>
      <c r="AF324" s="184"/>
    </row>
    <row r="325" spans="1:32" s="1" customFormat="1" ht="19.5" customHeight="1" x14ac:dyDescent="0.3">
      <c r="A325" s="369"/>
      <c r="B325" s="405"/>
      <c r="C325" s="383"/>
      <c r="D325" s="386" t="s">
        <v>60</v>
      </c>
      <c r="E325" s="386" t="s">
        <v>569</v>
      </c>
      <c r="F325" s="384">
        <v>5</v>
      </c>
      <c r="G325" s="384" t="s">
        <v>35</v>
      </c>
      <c r="H325" s="386">
        <v>15</v>
      </c>
      <c r="I325" s="386"/>
      <c r="J325" s="384">
        <v>45</v>
      </c>
      <c r="K325" s="384"/>
      <c r="L325" s="384"/>
      <c r="M325" s="384"/>
      <c r="N325" s="230"/>
      <c r="O325" s="384"/>
      <c r="P325" s="230"/>
      <c r="Q325" s="230"/>
      <c r="R325" s="230"/>
      <c r="S325" s="230"/>
      <c r="T325" s="231"/>
      <c r="U325" s="384"/>
      <c r="V325" s="384"/>
      <c r="W325" s="384"/>
      <c r="X325" s="384"/>
      <c r="Y325" s="232">
        <v>1.5</v>
      </c>
      <c r="Z325" s="228" t="s">
        <v>632</v>
      </c>
      <c r="AE325" s="184"/>
      <c r="AF325" s="184"/>
    </row>
    <row r="326" spans="1:32" s="1" customFormat="1" ht="19.5" customHeight="1" x14ac:dyDescent="0.3">
      <c r="A326" s="369"/>
      <c r="B326" s="405"/>
      <c r="C326" s="383"/>
      <c r="D326" s="225" t="s">
        <v>114</v>
      </c>
      <c r="E326" s="384" t="s">
        <v>596</v>
      </c>
      <c r="F326" s="384">
        <v>5</v>
      </c>
      <c r="G326" s="386" t="s">
        <v>35</v>
      </c>
      <c r="H326" s="386">
        <v>15</v>
      </c>
      <c r="I326" s="386"/>
      <c r="J326" s="384">
        <v>45</v>
      </c>
      <c r="K326" s="384"/>
      <c r="L326" s="384"/>
      <c r="M326" s="384">
        <v>15</v>
      </c>
      <c r="N326" s="230"/>
      <c r="O326" s="384">
        <v>3</v>
      </c>
      <c r="P326" s="230"/>
      <c r="Q326" s="230"/>
      <c r="R326" s="230"/>
      <c r="S326" s="230"/>
      <c r="T326" s="231"/>
      <c r="U326" s="384"/>
      <c r="V326" s="384"/>
      <c r="W326" s="384"/>
      <c r="X326" s="384"/>
      <c r="Y326" s="232">
        <v>2.1</v>
      </c>
      <c r="Z326" s="228" t="s">
        <v>631</v>
      </c>
      <c r="AE326" s="184"/>
      <c r="AF326" s="184"/>
    </row>
    <row r="327" spans="1:32" s="1" customFormat="1" ht="19.5" customHeight="1" x14ac:dyDescent="0.3">
      <c r="A327" s="369"/>
      <c r="B327" s="405"/>
      <c r="C327" s="383"/>
      <c r="D327" s="225" t="s">
        <v>46</v>
      </c>
      <c r="E327" s="386" t="s">
        <v>597</v>
      </c>
      <c r="F327" s="384">
        <v>5</v>
      </c>
      <c r="G327" s="386" t="s">
        <v>35</v>
      </c>
      <c r="H327" s="386">
        <v>15</v>
      </c>
      <c r="I327" s="386"/>
      <c r="J327" s="384">
        <v>45</v>
      </c>
      <c r="K327" s="384"/>
      <c r="L327" s="384"/>
      <c r="M327" s="384"/>
      <c r="N327" s="230"/>
      <c r="O327" s="384">
        <v>3</v>
      </c>
      <c r="P327" s="230"/>
      <c r="Q327" s="230"/>
      <c r="R327" s="230"/>
      <c r="S327" s="230"/>
      <c r="T327" s="231"/>
      <c r="U327" s="384"/>
      <c r="V327" s="384"/>
      <c r="W327" s="384"/>
      <c r="X327" s="384"/>
      <c r="Y327" s="232">
        <v>1.6</v>
      </c>
      <c r="Z327" s="228" t="s">
        <v>631</v>
      </c>
      <c r="AE327" s="184"/>
      <c r="AF327" s="184"/>
    </row>
    <row r="328" spans="1:32" s="1" customFormat="1" ht="19.5" customHeight="1" x14ac:dyDescent="0.3">
      <c r="A328" s="369"/>
      <c r="B328" s="405"/>
      <c r="C328" s="383"/>
      <c r="D328" s="386" t="s">
        <v>81</v>
      </c>
      <c r="E328" s="386" t="s">
        <v>570</v>
      </c>
      <c r="F328" s="384">
        <v>5</v>
      </c>
      <c r="G328" s="386" t="s">
        <v>35</v>
      </c>
      <c r="H328" s="386">
        <v>15</v>
      </c>
      <c r="I328" s="386"/>
      <c r="J328" s="384">
        <v>45</v>
      </c>
      <c r="K328" s="384"/>
      <c r="L328" s="384"/>
      <c r="M328" s="384"/>
      <c r="N328" s="230"/>
      <c r="O328" s="384">
        <v>3</v>
      </c>
      <c r="P328" s="230"/>
      <c r="Q328" s="230"/>
      <c r="R328" s="230"/>
      <c r="S328" s="230"/>
      <c r="T328" s="231"/>
      <c r="U328" s="384"/>
      <c r="V328" s="384"/>
      <c r="W328" s="384"/>
      <c r="X328" s="384"/>
      <c r="Y328" s="232">
        <v>1.6</v>
      </c>
      <c r="Z328" s="228" t="s">
        <v>633</v>
      </c>
      <c r="AE328" s="184"/>
      <c r="AF328" s="184"/>
    </row>
    <row r="329" spans="1:32" s="1" customFormat="1" ht="19.5" customHeight="1" x14ac:dyDescent="0.3">
      <c r="A329" s="369"/>
      <c r="B329" s="405"/>
      <c r="C329" s="383"/>
      <c r="D329" s="386" t="s">
        <v>81</v>
      </c>
      <c r="E329" s="386" t="s">
        <v>571</v>
      </c>
      <c r="F329" s="384">
        <v>5</v>
      </c>
      <c r="G329" s="386" t="s">
        <v>35</v>
      </c>
      <c r="H329" s="386">
        <v>15</v>
      </c>
      <c r="I329" s="386"/>
      <c r="J329" s="384">
        <v>45</v>
      </c>
      <c r="K329" s="384"/>
      <c r="L329" s="384"/>
      <c r="M329" s="384"/>
      <c r="N329" s="230"/>
      <c r="O329" s="384"/>
      <c r="P329" s="230"/>
      <c r="Q329" s="230"/>
      <c r="R329" s="230"/>
      <c r="S329" s="230"/>
      <c r="T329" s="231"/>
      <c r="U329" s="384"/>
      <c r="V329" s="384"/>
      <c r="W329" s="384"/>
      <c r="X329" s="384"/>
      <c r="Y329" s="232">
        <v>1.5</v>
      </c>
      <c r="Z329" s="228" t="s">
        <v>632</v>
      </c>
      <c r="AE329" s="184"/>
      <c r="AF329" s="184"/>
    </row>
    <row r="330" spans="1:32" s="1" customFormat="1" ht="19.5" customHeight="1" x14ac:dyDescent="0.3">
      <c r="A330" s="369"/>
      <c r="B330" s="405"/>
      <c r="C330" s="383"/>
      <c r="D330" s="386" t="s">
        <v>81</v>
      </c>
      <c r="E330" s="386" t="s">
        <v>572</v>
      </c>
      <c r="F330" s="384">
        <v>5</v>
      </c>
      <c r="G330" s="386" t="s">
        <v>35</v>
      </c>
      <c r="H330" s="386">
        <v>15</v>
      </c>
      <c r="I330" s="386"/>
      <c r="J330" s="384">
        <v>45</v>
      </c>
      <c r="K330" s="384"/>
      <c r="L330" s="384"/>
      <c r="M330" s="384"/>
      <c r="N330" s="230"/>
      <c r="O330" s="384">
        <v>3</v>
      </c>
      <c r="P330" s="230"/>
      <c r="Q330" s="230"/>
      <c r="R330" s="230"/>
      <c r="S330" s="230"/>
      <c r="T330" s="231"/>
      <c r="U330" s="384"/>
      <c r="V330" s="384"/>
      <c r="W330" s="384"/>
      <c r="X330" s="384"/>
      <c r="Y330" s="232">
        <v>1.6</v>
      </c>
      <c r="Z330" s="228" t="s">
        <v>633</v>
      </c>
      <c r="AE330" s="184"/>
      <c r="AF330" s="184"/>
    </row>
    <row r="331" spans="1:32" s="1" customFormat="1" ht="19.5" customHeight="1" x14ac:dyDescent="0.3">
      <c r="A331" s="369"/>
      <c r="B331" s="405"/>
      <c r="C331" s="383"/>
      <c r="D331" s="386" t="s">
        <v>81</v>
      </c>
      <c r="E331" s="386" t="s">
        <v>573</v>
      </c>
      <c r="F331" s="384">
        <v>5</v>
      </c>
      <c r="G331" s="386" t="s">
        <v>35</v>
      </c>
      <c r="H331" s="386">
        <v>15</v>
      </c>
      <c r="I331" s="386"/>
      <c r="J331" s="384">
        <v>45</v>
      </c>
      <c r="K331" s="384"/>
      <c r="L331" s="384"/>
      <c r="M331" s="384"/>
      <c r="N331" s="230"/>
      <c r="O331" s="384"/>
      <c r="P331" s="230"/>
      <c r="Q331" s="230"/>
      <c r="R331" s="230"/>
      <c r="S331" s="230"/>
      <c r="T331" s="231"/>
      <c r="U331" s="384"/>
      <c r="V331" s="384"/>
      <c r="W331" s="384"/>
      <c r="X331" s="384"/>
      <c r="Y331" s="232">
        <v>1.5</v>
      </c>
      <c r="Z331" s="228" t="s">
        <v>632</v>
      </c>
      <c r="AE331" s="184"/>
      <c r="AF331" s="184"/>
    </row>
    <row r="332" spans="1:32" s="1" customFormat="1" ht="19.5" customHeight="1" x14ac:dyDescent="0.3">
      <c r="A332" s="369"/>
      <c r="B332" s="405"/>
      <c r="C332" s="383"/>
      <c r="D332" s="386" t="s">
        <v>81</v>
      </c>
      <c r="E332" s="386" t="s">
        <v>574</v>
      </c>
      <c r="F332" s="384">
        <v>5</v>
      </c>
      <c r="G332" s="386" t="s">
        <v>35</v>
      </c>
      <c r="H332" s="386">
        <v>15</v>
      </c>
      <c r="I332" s="386"/>
      <c r="J332" s="384">
        <v>45</v>
      </c>
      <c r="K332" s="384"/>
      <c r="L332" s="384"/>
      <c r="M332" s="384"/>
      <c r="N332" s="230"/>
      <c r="O332" s="384">
        <v>3</v>
      </c>
      <c r="P332" s="230"/>
      <c r="Q332" s="230"/>
      <c r="R332" s="230"/>
      <c r="S332" s="230"/>
      <c r="T332" s="231"/>
      <c r="U332" s="384"/>
      <c r="V332" s="384"/>
      <c r="W332" s="384"/>
      <c r="X332" s="384"/>
      <c r="Y332" s="232">
        <v>1.6</v>
      </c>
      <c r="Z332" s="228" t="s">
        <v>633</v>
      </c>
      <c r="AE332" s="184"/>
      <c r="AF332" s="184"/>
    </row>
    <row r="333" spans="1:32" s="1" customFormat="1" ht="19.5" customHeight="1" x14ac:dyDescent="0.3">
      <c r="A333" s="369"/>
      <c r="B333" s="405"/>
      <c r="C333" s="383"/>
      <c r="D333" s="386" t="s">
        <v>81</v>
      </c>
      <c r="E333" s="386" t="s">
        <v>575</v>
      </c>
      <c r="F333" s="384">
        <v>5</v>
      </c>
      <c r="G333" s="386" t="s">
        <v>35</v>
      </c>
      <c r="H333" s="386">
        <v>15</v>
      </c>
      <c r="I333" s="386"/>
      <c r="J333" s="384">
        <v>45</v>
      </c>
      <c r="K333" s="384"/>
      <c r="L333" s="384"/>
      <c r="M333" s="384"/>
      <c r="N333" s="230"/>
      <c r="O333" s="384"/>
      <c r="P333" s="230"/>
      <c r="Q333" s="230"/>
      <c r="R333" s="230"/>
      <c r="S333" s="230"/>
      <c r="T333" s="231"/>
      <c r="U333" s="384"/>
      <c r="V333" s="384"/>
      <c r="W333" s="384"/>
      <c r="X333" s="384"/>
      <c r="Y333" s="232">
        <v>1.5</v>
      </c>
      <c r="Z333" s="228" t="s">
        <v>632</v>
      </c>
      <c r="AE333" s="184"/>
      <c r="AF333" s="184"/>
    </row>
    <row r="334" spans="1:32" s="1" customFormat="1" ht="19.5" customHeight="1" x14ac:dyDescent="0.3">
      <c r="A334" s="369"/>
      <c r="B334" s="405"/>
      <c r="C334" s="383"/>
      <c r="D334" s="225" t="s">
        <v>41</v>
      </c>
      <c r="E334" s="384" t="s">
        <v>318</v>
      </c>
      <c r="F334" s="384">
        <v>5</v>
      </c>
      <c r="G334" s="384" t="s">
        <v>35</v>
      </c>
      <c r="H334" s="386">
        <v>7</v>
      </c>
      <c r="I334" s="386"/>
      <c r="J334" s="384">
        <v>45</v>
      </c>
      <c r="K334" s="384"/>
      <c r="L334" s="384"/>
      <c r="M334" s="384">
        <v>15</v>
      </c>
      <c r="N334" s="230"/>
      <c r="O334" s="384">
        <v>3</v>
      </c>
      <c r="P334" s="230"/>
      <c r="Q334" s="230"/>
      <c r="R334" s="230"/>
      <c r="S334" s="230"/>
      <c r="T334" s="231"/>
      <c r="U334" s="384"/>
      <c r="V334" s="384"/>
      <c r="W334" s="384"/>
      <c r="X334" s="384"/>
      <c r="Y334" s="232">
        <v>2.1</v>
      </c>
      <c r="Z334" s="228" t="s">
        <v>633</v>
      </c>
      <c r="AE334" s="184"/>
      <c r="AF334" s="184"/>
    </row>
    <row r="335" spans="1:32" s="1" customFormat="1" ht="19.5" customHeight="1" x14ac:dyDescent="0.3">
      <c r="A335" s="369"/>
      <c r="B335" s="405"/>
      <c r="C335" s="383"/>
      <c r="D335" s="384" t="s">
        <v>51</v>
      </c>
      <c r="E335" s="384" t="s">
        <v>576</v>
      </c>
      <c r="F335" s="384">
        <v>5</v>
      </c>
      <c r="G335" s="386" t="s">
        <v>35</v>
      </c>
      <c r="H335" s="386">
        <v>10</v>
      </c>
      <c r="I335" s="386"/>
      <c r="J335" s="384"/>
      <c r="K335" s="384"/>
      <c r="L335" s="384"/>
      <c r="M335" s="384"/>
      <c r="N335" s="230"/>
      <c r="O335" s="384"/>
      <c r="P335" s="230"/>
      <c r="Q335" s="230"/>
      <c r="R335" s="230"/>
      <c r="S335" s="230"/>
      <c r="T335" s="231"/>
      <c r="U335" s="384"/>
      <c r="V335" s="384"/>
      <c r="W335" s="384"/>
      <c r="X335" s="384"/>
      <c r="Y335" s="232"/>
      <c r="Z335" s="228" t="s">
        <v>633</v>
      </c>
      <c r="AE335" s="184"/>
      <c r="AF335" s="184"/>
    </row>
    <row r="336" spans="1:32" s="1" customFormat="1" ht="19.5" customHeight="1" x14ac:dyDescent="0.3">
      <c r="A336" s="369"/>
      <c r="B336" s="405"/>
      <c r="C336" s="383"/>
      <c r="D336" s="384" t="s">
        <v>51</v>
      </c>
      <c r="E336" s="384" t="s">
        <v>577</v>
      </c>
      <c r="F336" s="384">
        <v>5</v>
      </c>
      <c r="G336" s="386" t="s">
        <v>35</v>
      </c>
      <c r="H336" s="386">
        <v>16</v>
      </c>
      <c r="I336" s="386"/>
      <c r="J336" s="384">
        <v>45</v>
      </c>
      <c r="K336" s="384"/>
      <c r="L336" s="384"/>
      <c r="M336" s="384"/>
      <c r="N336" s="230"/>
      <c r="O336" s="384"/>
      <c r="P336" s="230"/>
      <c r="Q336" s="230"/>
      <c r="R336" s="230"/>
      <c r="S336" s="230"/>
      <c r="T336" s="231"/>
      <c r="U336" s="384"/>
      <c r="V336" s="384"/>
      <c r="W336" s="384"/>
      <c r="X336" s="384"/>
      <c r="Y336" s="232">
        <v>1.5</v>
      </c>
      <c r="Z336" s="228" t="s">
        <v>633</v>
      </c>
      <c r="AE336" s="184"/>
      <c r="AF336" s="184"/>
    </row>
    <row r="337" spans="1:37" s="1" customFormat="1" ht="19.5" customHeight="1" x14ac:dyDescent="0.3">
      <c r="A337" s="369"/>
      <c r="B337" s="405"/>
      <c r="C337" s="383"/>
      <c r="D337" s="225" t="s">
        <v>52</v>
      </c>
      <c r="E337" s="386" t="s">
        <v>578</v>
      </c>
      <c r="F337" s="384">
        <v>5</v>
      </c>
      <c r="G337" s="386" t="s">
        <v>35</v>
      </c>
      <c r="H337" s="386">
        <v>15</v>
      </c>
      <c r="I337" s="386"/>
      <c r="J337" s="384">
        <v>45</v>
      </c>
      <c r="K337" s="384"/>
      <c r="L337" s="384"/>
      <c r="M337" s="384"/>
      <c r="N337" s="230"/>
      <c r="O337" s="384">
        <v>3</v>
      </c>
      <c r="P337" s="230"/>
      <c r="Q337" s="230"/>
      <c r="R337" s="230"/>
      <c r="S337" s="230"/>
      <c r="T337" s="231"/>
      <c r="U337" s="384"/>
      <c r="V337" s="384"/>
      <c r="W337" s="384"/>
      <c r="X337" s="384"/>
      <c r="Y337" s="232">
        <v>1.6</v>
      </c>
      <c r="Z337" s="228" t="s">
        <v>631</v>
      </c>
      <c r="AE337" s="184"/>
      <c r="AF337" s="184"/>
    </row>
    <row r="338" spans="1:37" s="1" customFormat="1" ht="19.5" customHeight="1" x14ac:dyDescent="0.3">
      <c r="A338" s="369"/>
      <c r="B338" s="405"/>
      <c r="C338" s="383"/>
      <c r="D338" s="225" t="s">
        <v>52</v>
      </c>
      <c r="E338" s="386" t="s">
        <v>579</v>
      </c>
      <c r="F338" s="384">
        <v>5</v>
      </c>
      <c r="G338" s="386" t="s">
        <v>35</v>
      </c>
      <c r="H338" s="386">
        <v>15</v>
      </c>
      <c r="I338" s="386"/>
      <c r="J338" s="384">
        <v>45</v>
      </c>
      <c r="K338" s="384"/>
      <c r="L338" s="384"/>
      <c r="M338" s="384"/>
      <c r="N338" s="230"/>
      <c r="O338" s="384"/>
      <c r="P338" s="230"/>
      <c r="Q338" s="230"/>
      <c r="R338" s="230"/>
      <c r="S338" s="230"/>
      <c r="T338" s="231"/>
      <c r="U338" s="384"/>
      <c r="V338" s="384"/>
      <c r="W338" s="384"/>
      <c r="X338" s="384"/>
      <c r="Y338" s="232">
        <v>1.5</v>
      </c>
      <c r="Z338" s="228" t="s">
        <v>630</v>
      </c>
      <c r="AE338" s="184"/>
      <c r="AF338" s="184"/>
    </row>
    <row r="339" spans="1:37" s="1" customFormat="1" ht="19.5" customHeight="1" x14ac:dyDescent="0.3">
      <c r="A339" s="369"/>
      <c r="B339" s="405"/>
      <c r="C339" s="383"/>
      <c r="D339" s="225" t="s">
        <v>52</v>
      </c>
      <c r="E339" s="386" t="s">
        <v>580</v>
      </c>
      <c r="F339" s="384">
        <v>5</v>
      </c>
      <c r="G339" s="386" t="s">
        <v>35</v>
      </c>
      <c r="H339" s="386">
        <v>15</v>
      </c>
      <c r="I339" s="386"/>
      <c r="J339" s="384">
        <v>45</v>
      </c>
      <c r="K339" s="384"/>
      <c r="L339" s="384"/>
      <c r="M339" s="384"/>
      <c r="N339" s="230"/>
      <c r="O339" s="384">
        <v>3</v>
      </c>
      <c r="P339" s="230"/>
      <c r="Q339" s="230"/>
      <c r="R339" s="230"/>
      <c r="S339" s="230"/>
      <c r="T339" s="231"/>
      <c r="U339" s="384"/>
      <c r="V339" s="384"/>
      <c r="W339" s="384"/>
      <c r="X339" s="384"/>
      <c r="Y339" s="232">
        <v>1.6</v>
      </c>
      <c r="Z339" s="228" t="s">
        <v>631</v>
      </c>
      <c r="AE339" s="184"/>
      <c r="AF339" s="184"/>
    </row>
    <row r="340" spans="1:37" s="1" customFormat="1" ht="19.5" customHeight="1" x14ac:dyDescent="0.3">
      <c r="A340" s="369"/>
      <c r="B340" s="405"/>
      <c r="C340" s="383"/>
      <c r="D340" s="225" t="s">
        <v>52</v>
      </c>
      <c r="E340" s="386" t="s">
        <v>581</v>
      </c>
      <c r="F340" s="384">
        <v>5</v>
      </c>
      <c r="G340" s="386" t="s">
        <v>35</v>
      </c>
      <c r="H340" s="386">
        <v>15</v>
      </c>
      <c r="I340" s="386"/>
      <c r="J340" s="384">
        <v>45</v>
      </c>
      <c r="K340" s="384"/>
      <c r="L340" s="384"/>
      <c r="M340" s="384"/>
      <c r="N340" s="230"/>
      <c r="O340" s="384"/>
      <c r="P340" s="230"/>
      <c r="Q340" s="230"/>
      <c r="R340" s="230"/>
      <c r="S340" s="230"/>
      <c r="T340" s="231"/>
      <c r="U340" s="384"/>
      <c r="V340" s="384"/>
      <c r="W340" s="384"/>
      <c r="X340" s="384"/>
      <c r="Y340" s="232">
        <v>1.5</v>
      </c>
      <c r="Z340" s="228" t="s">
        <v>630</v>
      </c>
      <c r="AE340" s="184"/>
      <c r="AF340" s="184"/>
    </row>
    <row r="341" spans="1:37" s="1" customFormat="1" ht="19.5" customHeight="1" x14ac:dyDescent="0.3">
      <c r="A341" s="369"/>
      <c r="B341" s="405"/>
      <c r="C341" s="383"/>
      <c r="D341" s="225" t="s">
        <v>52</v>
      </c>
      <c r="E341" s="386" t="s">
        <v>582</v>
      </c>
      <c r="F341" s="384">
        <v>5</v>
      </c>
      <c r="G341" s="386" t="s">
        <v>35</v>
      </c>
      <c r="H341" s="386">
        <v>15</v>
      </c>
      <c r="I341" s="386"/>
      <c r="J341" s="384">
        <v>45</v>
      </c>
      <c r="K341" s="384"/>
      <c r="L341" s="384"/>
      <c r="M341" s="384"/>
      <c r="N341" s="230"/>
      <c r="O341" s="384">
        <v>3</v>
      </c>
      <c r="P341" s="230"/>
      <c r="Q341" s="230"/>
      <c r="R341" s="230"/>
      <c r="S341" s="230"/>
      <c r="T341" s="231"/>
      <c r="U341" s="384"/>
      <c r="V341" s="384"/>
      <c r="W341" s="384"/>
      <c r="X341" s="384"/>
      <c r="Y341" s="232">
        <v>1.6</v>
      </c>
      <c r="Z341" s="228" t="s">
        <v>631</v>
      </c>
      <c r="AD341" s="220"/>
      <c r="AE341" s="220"/>
      <c r="AF341" s="220"/>
      <c r="AG341" s="221"/>
      <c r="AH341" s="221"/>
      <c r="AI341" s="71"/>
      <c r="AJ341" s="71"/>
      <c r="AK341" s="71"/>
    </row>
    <row r="342" spans="1:37" s="1" customFormat="1" ht="19.5" customHeight="1" x14ac:dyDescent="0.3">
      <c r="A342" s="369"/>
      <c r="B342" s="405"/>
      <c r="C342" s="383"/>
      <c r="D342" s="225" t="s">
        <v>52</v>
      </c>
      <c r="E342" s="386" t="s">
        <v>583</v>
      </c>
      <c r="F342" s="384">
        <v>5</v>
      </c>
      <c r="G342" s="386" t="s">
        <v>35</v>
      </c>
      <c r="H342" s="386">
        <v>14</v>
      </c>
      <c r="I342" s="386"/>
      <c r="J342" s="384">
        <v>45</v>
      </c>
      <c r="K342" s="384"/>
      <c r="L342" s="384"/>
      <c r="M342" s="384"/>
      <c r="N342" s="230"/>
      <c r="O342" s="384"/>
      <c r="P342" s="230"/>
      <c r="Q342" s="230"/>
      <c r="R342" s="230"/>
      <c r="S342" s="230"/>
      <c r="T342" s="231"/>
      <c r="U342" s="384"/>
      <c r="V342" s="384"/>
      <c r="W342" s="384"/>
      <c r="X342" s="384"/>
      <c r="Y342" s="232">
        <v>1.5</v>
      </c>
      <c r="Z342" s="228" t="s">
        <v>630</v>
      </c>
      <c r="AD342" s="222"/>
      <c r="AE342" s="220"/>
      <c r="AF342" s="220"/>
      <c r="AG342" s="220"/>
      <c r="AH342" s="221"/>
      <c r="AI342" s="71"/>
      <c r="AJ342" s="71"/>
      <c r="AK342" s="71"/>
    </row>
    <row r="343" spans="1:37" s="1" customFormat="1" ht="19.5" customHeight="1" x14ac:dyDescent="0.3">
      <c r="A343" s="369"/>
      <c r="B343" s="405"/>
      <c r="C343" s="383"/>
      <c r="D343" s="225" t="s">
        <v>52</v>
      </c>
      <c r="E343" s="386" t="s">
        <v>584</v>
      </c>
      <c r="F343" s="384">
        <v>5</v>
      </c>
      <c r="G343" s="386" t="s">
        <v>35</v>
      </c>
      <c r="H343" s="386">
        <v>15</v>
      </c>
      <c r="I343" s="386"/>
      <c r="J343" s="384">
        <v>45</v>
      </c>
      <c r="K343" s="384"/>
      <c r="L343" s="384"/>
      <c r="M343" s="384"/>
      <c r="N343" s="230"/>
      <c r="O343" s="384">
        <v>3</v>
      </c>
      <c r="P343" s="230"/>
      <c r="Q343" s="230"/>
      <c r="R343" s="230"/>
      <c r="S343" s="230"/>
      <c r="T343" s="231"/>
      <c r="U343" s="384"/>
      <c r="V343" s="384"/>
      <c r="W343" s="384"/>
      <c r="X343" s="384"/>
      <c r="Y343" s="232">
        <v>1.6</v>
      </c>
      <c r="Z343" s="228" t="s">
        <v>630</v>
      </c>
      <c r="AD343" s="220"/>
      <c r="AE343" s="220"/>
      <c r="AF343" s="220"/>
      <c r="AG343" s="220"/>
      <c r="AH343" s="221"/>
      <c r="AI343" s="71"/>
      <c r="AJ343" s="71"/>
      <c r="AK343" s="71"/>
    </row>
    <row r="344" spans="1:37" s="1" customFormat="1" ht="19.5" customHeight="1" x14ac:dyDescent="0.3">
      <c r="A344" s="369"/>
      <c r="B344" s="405"/>
      <c r="C344" s="383"/>
      <c r="D344" s="225" t="s">
        <v>52</v>
      </c>
      <c r="E344" s="386" t="s">
        <v>585</v>
      </c>
      <c r="F344" s="384">
        <v>5</v>
      </c>
      <c r="G344" s="386" t="s">
        <v>35</v>
      </c>
      <c r="H344" s="386">
        <v>14</v>
      </c>
      <c r="I344" s="386"/>
      <c r="J344" s="384">
        <v>45</v>
      </c>
      <c r="K344" s="384"/>
      <c r="L344" s="384"/>
      <c r="M344" s="384"/>
      <c r="N344" s="230"/>
      <c r="O344" s="384"/>
      <c r="P344" s="230"/>
      <c r="Q344" s="230"/>
      <c r="R344" s="230"/>
      <c r="S344" s="230"/>
      <c r="T344" s="231"/>
      <c r="U344" s="384"/>
      <c r="V344" s="384"/>
      <c r="W344" s="384"/>
      <c r="X344" s="384"/>
      <c r="Y344" s="232">
        <v>1.5</v>
      </c>
      <c r="Z344" s="228" t="s">
        <v>631</v>
      </c>
      <c r="AD344" s="220"/>
      <c r="AE344" s="220"/>
      <c r="AF344" s="220"/>
      <c r="AG344" s="220"/>
      <c r="AH344" s="221"/>
      <c r="AI344" s="71"/>
      <c r="AJ344" s="71"/>
      <c r="AK344" s="71"/>
    </row>
    <row r="345" spans="1:37" s="1" customFormat="1" ht="19.5" customHeight="1" x14ac:dyDescent="0.3">
      <c r="A345" s="369"/>
      <c r="B345" s="404" t="s">
        <v>343</v>
      </c>
      <c r="C345" s="382"/>
      <c r="D345" s="384" t="s">
        <v>62</v>
      </c>
      <c r="E345" s="384" t="s">
        <v>305</v>
      </c>
      <c r="F345" s="384">
        <v>5</v>
      </c>
      <c r="G345" s="384" t="s">
        <v>32</v>
      </c>
      <c r="H345" s="386">
        <v>8</v>
      </c>
      <c r="I345" s="386"/>
      <c r="J345" s="384">
        <v>45</v>
      </c>
      <c r="K345" s="384"/>
      <c r="L345" s="384"/>
      <c r="M345" s="384">
        <v>15</v>
      </c>
      <c r="N345" s="230"/>
      <c r="O345" s="384">
        <v>3</v>
      </c>
      <c r="P345" s="230"/>
      <c r="Q345" s="230"/>
      <c r="R345" s="230"/>
      <c r="S345" s="230"/>
      <c r="T345" s="231"/>
      <c r="U345" s="384"/>
      <c r="V345" s="384"/>
      <c r="W345" s="384"/>
      <c r="X345" s="384"/>
      <c r="Y345" s="232">
        <v>2.1</v>
      </c>
      <c r="Z345" s="228" t="s">
        <v>634</v>
      </c>
      <c r="AD345" s="71" t="s">
        <v>598</v>
      </c>
      <c r="AE345" s="188">
        <f>Y351+Y352+Y360+Y361+Y354+Y362+Y345</f>
        <v>11.5</v>
      </c>
      <c r="AF345" s="188"/>
      <c r="AG345" s="71"/>
      <c r="AH345" s="71"/>
      <c r="AI345" s="71"/>
      <c r="AJ345" s="71"/>
      <c r="AK345" s="71"/>
    </row>
    <row r="346" spans="1:37" s="1" customFormat="1" ht="19.5" customHeight="1" x14ac:dyDescent="0.3">
      <c r="A346" s="369"/>
      <c r="B346" s="405"/>
      <c r="C346" s="383"/>
      <c r="D346" s="386" t="s">
        <v>210</v>
      </c>
      <c r="E346" s="386" t="s">
        <v>323</v>
      </c>
      <c r="F346" s="384">
        <v>5</v>
      </c>
      <c r="G346" s="384" t="s">
        <v>32</v>
      </c>
      <c r="H346" s="386">
        <v>4</v>
      </c>
      <c r="I346" s="386"/>
      <c r="J346" s="384"/>
      <c r="K346" s="384"/>
      <c r="L346" s="384"/>
      <c r="M346" s="384"/>
      <c r="N346" s="230"/>
      <c r="O346" s="384"/>
      <c r="P346" s="230"/>
      <c r="Q346" s="230"/>
      <c r="R346" s="230"/>
      <c r="S346" s="230"/>
      <c r="T346" s="231"/>
      <c r="U346" s="384"/>
      <c r="V346" s="384"/>
      <c r="W346" s="384"/>
      <c r="X346" s="384"/>
      <c r="Y346" s="232">
        <v>0</v>
      </c>
      <c r="Z346" s="228" t="s">
        <v>634</v>
      </c>
      <c r="AD346" s="1" t="s">
        <v>599</v>
      </c>
      <c r="AE346" s="188" t="e">
        <f>Y352+Y353+Y361+Y362+Y355+#REF!+Y346</f>
        <v>#REF!</v>
      </c>
      <c r="AF346" s="184"/>
    </row>
    <row r="347" spans="1:37" s="1" customFormat="1" ht="19.5" customHeight="1" x14ac:dyDescent="0.3">
      <c r="A347" s="369"/>
      <c r="B347" s="405"/>
      <c r="C347" s="383"/>
      <c r="D347" s="386" t="s">
        <v>81</v>
      </c>
      <c r="E347" s="386" t="s">
        <v>600</v>
      </c>
      <c r="F347" s="384">
        <v>5</v>
      </c>
      <c r="G347" s="384" t="s">
        <v>32</v>
      </c>
      <c r="H347" s="386">
        <v>11</v>
      </c>
      <c r="I347" s="386"/>
      <c r="J347" s="384">
        <v>45</v>
      </c>
      <c r="K347" s="384"/>
      <c r="L347" s="384"/>
      <c r="M347" s="384"/>
      <c r="N347" s="230"/>
      <c r="O347" s="384">
        <v>3</v>
      </c>
      <c r="P347" s="230"/>
      <c r="Q347" s="230"/>
      <c r="R347" s="230"/>
      <c r="S347" s="230"/>
      <c r="T347" s="231"/>
      <c r="U347" s="384"/>
      <c r="V347" s="384"/>
      <c r="W347" s="384"/>
      <c r="X347" s="384"/>
      <c r="Y347" s="232">
        <v>1.6</v>
      </c>
      <c r="Z347" s="228" t="s">
        <v>635</v>
      </c>
      <c r="AD347" s="1" t="s">
        <v>601</v>
      </c>
      <c r="AE347" s="188" t="e">
        <f>Y353+Y354+Y362+#REF!+Y356+#REF!+Y347</f>
        <v>#REF!</v>
      </c>
      <c r="AF347" s="184"/>
    </row>
    <row r="348" spans="1:37" s="1" customFormat="1" ht="19.5" customHeight="1" x14ac:dyDescent="0.3">
      <c r="A348" s="369"/>
      <c r="B348" s="405"/>
      <c r="C348" s="383"/>
      <c r="D348" s="386" t="s">
        <v>81</v>
      </c>
      <c r="E348" s="386" t="s">
        <v>602</v>
      </c>
      <c r="F348" s="384">
        <v>5</v>
      </c>
      <c r="G348" s="384" t="s">
        <v>32</v>
      </c>
      <c r="H348" s="386">
        <v>10</v>
      </c>
      <c r="I348" s="386"/>
      <c r="J348" s="384">
        <v>45</v>
      </c>
      <c r="K348" s="384"/>
      <c r="L348" s="384"/>
      <c r="M348" s="384"/>
      <c r="N348" s="230"/>
      <c r="O348" s="384"/>
      <c r="P348" s="230"/>
      <c r="Q348" s="230"/>
      <c r="R348" s="230"/>
      <c r="S348" s="230"/>
      <c r="T348" s="231"/>
      <c r="U348" s="384"/>
      <c r="V348" s="384"/>
      <c r="W348" s="384"/>
      <c r="X348" s="384"/>
      <c r="Y348" s="232">
        <v>1.5</v>
      </c>
      <c r="Z348" s="228" t="s">
        <v>635</v>
      </c>
      <c r="AE348" s="184"/>
      <c r="AF348" s="184"/>
    </row>
    <row r="349" spans="1:37" s="1" customFormat="1" ht="19.5" customHeight="1" x14ac:dyDescent="0.3">
      <c r="A349" s="369"/>
      <c r="B349" s="405"/>
      <c r="C349" s="383"/>
      <c r="D349" s="384" t="s">
        <v>170</v>
      </c>
      <c r="E349" s="384" t="s">
        <v>586</v>
      </c>
      <c r="F349" s="384">
        <v>5</v>
      </c>
      <c r="G349" s="384" t="s">
        <v>32</v>
      </c>
      <c r="H349" s="386">
        <v>11</v>
      </c>
      <c r="I349" s="386"/>
      <c r="J349" s="384">
        <v>45</v>
      </c>
      <c r="K349" s="384"/>
      <c r="L349" s="384"/>
      <c r="M349" s="384"/>
      <c r="N349" s="230"/>
      <c r="O349" s="384">
        <v>3</v>
      </c>
      <c r="P349" s="230"/>
      <c r="Q349" s="230"/>
      <c r="R349" s="230"/>
      <c r="S349" s="230"/>
      <c r="T349" s="231"/>
      <c r="U349" s="384"/>
      <c r="V349" s="384"/>
      <c r="W349" s="384"/>
      <c r="X349" s="384"/>
      <c r="Y349" s="232">
        <v>1.6</v>
      </c>
      <c r="Z349" s="228" t="s">
        <v>635</v>
      </c>
      <c r="AE349" s="184" t="e">
        <f>SUM(AE345:AE348)</f>
        <v>#REF!</v>
      </c>
      <c r="AF349" s="184"/>
    </row>
    <row r="350" spans="1:37" s="1" customFormat="1" ht="19.5" customHeight="1" x14ac:dyDescent="0.3">
      <c r="A350" s="369"/>
      <c r="B350" s="405"/>
      <c r="C350" s="383"/>
      <c r="D350" s="384" t="s">
        <v>170</v>
      </c>
      <c r="E350" s="384" t="s">
        <v>587</v>
      </c>
      <c r="F350" s="384">
        <v>5</v>
      </c>
      <c r="G350" s="384" t="s">
        <v>32</v>
      </c>
      <c r="H350" s="386">
        <v>10</v>
      </c>
      <c r="I350" s="386"/>
      <c r="J350" s="384">
        <v>45</v>
      </c>
      <c r="K350" s="384"/>
      <c r="L350" s="384"/>
      <c r="M350" s="384"/>
      <c r="N350" s="230"/>
      <c r="O350" s="384"/>
      <c r="P350" s="230"/>
      <c r="Q350" s="230"/>
      <c r="R350" s="230"/>
      <c r="S350" s="230"/>
      <c r="T350" s="231"/>
      <c r="U350" s="384"/>
      <c r="V350" s="384"/>
      <c r="W350" s="384"/>
      <c r="X350" s="384"/>
      <c r="Y350" s="232">
        <v>1.5</v>
      </c>
      <c r="Z350" s="228" t="s">
        <v>636</v>
      </c>
      <c r="AE350" s="184"/>
      <c r="AF350" s="184"/>
    </row>
    <row r="351" spans="1:37" s="1" customFormat="1" ht="19.5" customHeight="1" x14ac:dyDescent="0.3">
      <c r="A351" s="369"/>
      <c r="B351" s="405"/>
      <c r="C351" s="383"/>
      <c r="D351" s="384" t="s">
        <v>61</v>
      </c>
      <c r="E351" s="384" t="s">
        <v>307</v>
      </c>
      <c r="F351" s="384">
        <v>5</v>
      </c>
      <c r="G351" s="384" t="s">
        <v>32</v>
      </c>
      <c r="H351" s="386">
        <v>11</v>
      </c>
      <c r="I351" s="386"/>
      <c r="J351" s="384">
        <v>45</v>
      </c>
      <c r="K351" s="384"/>
      <c r="L351" s="384"/>
      <c r="M351" s="384"/>
      <c r="N351" s="230"/>
      <c r="O351" s="384">
        <v>3</v>
      </c>
      <c r="P351" s="230"/>
      <c r="Q351" s="230"/>
      <c r="R351" s="230"/>
      <c r="S351" s="230"/>
      <c r="T351" s="231"/>
      <c r="U351" s="384"/>
      <c r="V351" s="384"/>
      <c r="W351" s="384"/>
      <c r="X351" s="384"/>
      <c r="Y351" s="232">
        <v>1.6</v>
      </c>
      <c r="Z351" s="228" t="s">
        <v>634</v>
      </c>
      <c r="AE351" s="184"/>
      <c r="AF351" s="184"/>
    </row>
    <row r="352" spans="1:37" s="1" customFormat="1" ht="19.5" customHeight="1" x14ac:dyDescent="0.3">
      <c r="A352" s="369"/>
      <c r="B352" s="405"/>
      <c r="C352" s="383"/>
      <c r="D352" s="225" t="s">
        <v>44</v>
      </c>
      <c r="E352" s="386" t="s">
        <v>308</v>
      </c>
      <c r="F352" s="384">
        <v>5</v>
      </c>
      <c r="G352" s="384" t="s">
        <v>32</v>
      </c>
      <c r="H352" s="386">
        <v>7</v>
      </c>
      <c r="I352" s="386"/>
      <c r="J352" s="384">
        <v>45</v>
      </c>
      <c r="K352" s="384"/>
      <c r="L352" s="384"/>
      <c r="M352" s="384"/>
      <c r="N352" s="230"/>
      <c r="O352" s="384">
        <v>3</v>
      </c>
      <c r="P352" s="230"/>
      <c r="Q352" s="230"/>
      <c r="R352" s="230"/>
      <c r="S352" s="230"/>
      <c r="T352" s="231"/>
      <c r="U352" s="384"/>
      <c r="V352" s="384"/>
      <c r="W352" s="384"/>
      <c r="X352" s="384"/>
      <c r="Y352" s="232">
        <v>1.6</v>
      </c>
      <c r="Z352" s="228" t="s">
        <v>634</v>
      </c>
      <c r="AE352" s="184"/>
      <c r="AF352" s="184"/>
    </row>
    <row r="353" spans="1:32" s="1" customFormat="1" ht="19.5" customHeight="1" x14ac:dyDescent="0.3">
      <c r="A353" s="369"/>
      <c r="B353" s="405"/>
      <c r="C353" s="383"/>
      <c r="D353" s="225" t="s">
        <v>43</v>
      </c>
      <c r="E353" s="386" t="s">
        <v>309</v>
      </c>
      <c r="F353" s="384">
        <v>5</v>
      </c>
      <c r="G353" s="384" t="s">
        <v>32</v>
      </c>
      <c r="H353" s="386">
        <v>7</v>
      </c>
      <c r="I353" s="386"/>
      <c r="J353" s="384"/>
      <c r="K353" s="384"/>
      <c r="L353" s="384"/>
      <c r="M353" s="384"/>
      <c r="N353" s="230"/>
      <c r="O353" s="384"/>
      <c r="P353" s="230"/>
      <c r="Q353" s="230"/>
      <c r="R353" s="230"/>
      <c r="S353" s="230"/>
      <c r="T353" s="231"/>
      <c r="U353" s="384"/>
      <c r="V353" s="384"/>
      <c r="W353" s="384"/>
      <c r="X353" s="384"/>
      <c r="Y353" s="232">
        <v>0</v>
      </c>
      <c r="Z353" s="228" t="s">
        <v>634</v>
      </c>
      <c r="AE353" s="184"/>
      <c r="AF353" s="184"/>
    </row>
    <row r="354" spans="1:32" s="1" customFormat="1" ht="19.5" customHeight="1" x14ac:dyDescent="0.3">
      <c r="A354" s="369"/>
      <c r="B354" s="405"/>
      <c r="C354" s="383"/>
      <c r="D354" s="225" t="s">
        <v>41</v>
      </c>
      <c r="E354" s="384" t="s">
        <v>317</v>
      </c>
      <c r="F354" s="384">
        <v>5</v>
      </c>
      <c r="G354" s="384" t="s">
        <v>32</v>
      </c>
      <c r="H354" s="386">
        <v>6</v>
      </c>
      <c r="I354" s="386"/>
      <c r="J354" s="384">
        <v>45</v>
      </c>
      <c r="K354" s="384"/>
      <c r="L354" s="384"/>
      <c r="M354" s="384"/>
      <c r="N354" s="230"/>
      <c r="O354" s="384">
        <v>3</v>
      </c>
      <c r="P354" s="230"/>
      <c r="Q354" s="230"/>
      <c r="R354" s="230"/>
      <c r="S354" s="230"/>
      <c r="T354" s="231"/>
      <c r="U354" s="384"/>
      <c r="V354" s="384"/>
      <c r="W354" s="384"/>
      <c r="X354" s="384"/>
      <c r="Y354" s="232">
        <v>1.6</v>
      </c>
      <c r="Z354" s="228" t="s">
        <v>634</v>
      </c>
      <c r="AE354" s="184"/>
      <c r="AF354" s="184"/>
    </row>
    <row r="355" spans="1:32" s="1" customFormat="1" ht="19.5" customHeight="1" x14ac:dyDescent="0.3">
      <c r="A355" s="369"/>
      <c r="B355" s="405"/>
      <c r="C355" s="383"/>
      <c r="D355" s="384" t="s">
        <v>51</v>
      </c>
      <c r="E355" s="384" t="s">
        <v>314</v>
      </c>
      <c r="F355" s="384">
        <v>5</v>
      </c>
      <c r="G355" s="384" t="s">
        <v>32</v>
      </c>
      <c r="H355" s="386">
        <v>9</v>
      </c>
      <c r="I355" s="386"/>
      <c r="J355" s="384"/>
      <c r="K355" s="384"/>
      <c r="L355" s="384"/>
      <c r="M355" s="384"/>
      <c r="N355" s="230"/>
      <c r="O355" s="384"/>
      <c r="P355" s="230"/>
      <c r="Q355" s="230"/>
      <c r="R355" s="230"/>
      <c r="S355" s="230"/>
      <c r="T355" s="231"/>
      <c r="U355" s="384"/>
      <c r="V355" s="384"/>
      <c r="W355" s="384"/>
      <c r="X355" s="384"/>
      <c r="Y355" s="232">
        <v>0</v>
      </c>
      <c r="Z355" s="228" t="s">
        <v>634</v>
      </c>
      <c r="AE355" s="184"/>
      <c r="AF355" s="184"/>
    </row>
    <row r="356" spans="1:32" s="1" customFormat="1" ht="19.5" customHeight="1" x14ac:dyDescent="0.3">
      <c r="A356" s="369"/>
      <c r="B356" s="405"/>
      <c r="C356" s="383"/>
      <c r="D356" s="386" t="s">
        <v>60</v>
      </c>
      <c r="E356" s="386" t="s">
        <v>310</v>
      </c>
      <c r="F356" s="384">
        <v>5</v>
      </c>
      <c r="G356" s="384" t="s">
        <v>32</v>
      </c>
      <c r="H356" s="386">
        <v>16</v>
      </c>
      <c r="I356" s="386"/>
      <c r="J356" s="384">
        <v>45</v>
      </c>
      <c r="K356" s="384"/>
      <c r="L356" s="384"/>
      <c r="M356" s="384"/>
      <c r="N356" s="230"/>
      <c r="O356" s="384">
        <v>3</v>
      </c>
      <c r="P356" s="230"/>
      <c r="Q356" s="230"/>
      <c r="R356" s="230"/>
      <c r="S356" s="230"/>
      <c r="T356" s="231"/>
      <c r="U356" s="384"/>
      <c r="V356" s="384"/>
      <c r="W356" s="384"/>
      <c r="X356" s="384"/>
      <c r="Y356" s="232">
        <v>1.6</v>
      </c>
      <c r="Z356" s="228" t="s">
        <v>636</v>
      </c>
      <c r="AE356" s="184"/>
      <c r="AF356" s="184"/>
    </row>
    <row r="357" spans="1:32" s="1" customFormat="1" ht="19.5" customHeight="1" x14ac:dyDescent="0.3">
      <c r="A357" s="369"/>
      <c r="B357" s="405"/>
      <c r="C357" s="383"/>
      <c r="D357" s="225" t="s">
        <v>114</v>
      </c>
      <c r="E357" s="384" t="s">
        <v>312</v>
      </c>
      <c r="F357" s="384">
        <v>5</v>
      </c>
      <c r="G357" s="384" t="s">
        <v>32</v>
      </c>
      <c r="H357" s="386">
        <v>14</v>
      </c>
      <c r="I357" s="386"/>
      <c r="J357" s="384">
        <v>45</v>
      </c>
      <c r="K357" s="384"/>
      <c r="L357" s="384"/>
      <c r="M357" s="384"/>
      <c r="N357" s="230"/>
      <c r="O357" s="384">
        <v>3</v>
      </c>
      <c r="P357" s="230"/>
      <c r="Q357" s="230"/>
      <c r="R357" s="230"/>
      <c r="S357" s="230"/>
      <c r="T357" s="231"/>
      <c r="U357" s="384"/>
      <c r="V357" s="384"/>
      <c r="W357" s="384"/>
      <c r="X357" s="384"/>
      <c r="Y357" s="232">
        <v>1.6</v>
      </c>
      <c r="Z357" s="228" t="s">
        <v>635</v>
      </c>
      <c r="AE357" s="184"/>
      <c r="AF357" s="184"/>
    </row>
    <row r="358" spans="1:32" s="1" customFormat="1" ht="19.5" customHeight="1" x14ac:dyDescent="0.3">
      <c r="A358" s="369"/>
      <c r="B358" s="405"/>
      <c r="C358" s="383"/>
      <c r="D358" s="225" t="s">
        <v>46</v>
      </c>
      <c r="E358" s="386" t="s">
        <v>313</v>
      </c>
      <c r="F358" s="384">
        <v>5</v>
      </c>
      <c r="G358" s="384" t="s">
        <v>32</v>
      </c>
      <c r="H358" s="386">
        <v>12</v>
      </c>
      <c r="I358" s="386"/>
      <c r="J358" s="384">
        <v>45</v>
      </c>
      <c r="K358" s="384"/>
      <c r="L358" s="384"/>
      <c r="M358" s="384"/>
      <c r="N358" s="230"/>
      <c r="O358" s="384">
        <v>3</v>
      </c>
      <c r="P358" s="230"/>
      <c r="Q358" s="230"/>
      <c r="R358" s="230"/>
      <c r="S358" s="230"/>
      <c r="T358" s="231"/>
      <c r="U358" s="384"/>
      <c r="V358" s="384"/>
      <c r="W358" s="384"/>
      <c r="X358" s="384"/>
      <c r="Y358" s="232">
        <v>1.6</v>
      </c>
      <c r="Z358" s="228" t="s">
        <v>635</v>
      </c>
      <c r="AE358" s="184"/>
      <c r="AF358" s="184"/>
    </row>
    <row r="359" spans="1:32" s="1" customFormat="1" ht="19.5" customHeight="1" x14ac:dyDescent="0.3">
      <c r="A359" s="369"/>
      <c r="B359" s="405"/>
      <c r="C359" s="383"/>
      <c r="D359" s="225" t="s">
        <v>52</v>
      </c>
      <c r="E359" s="386" t="s">
        <v>588</v>
      </c>
      <c r="F359" s="384">
        <v>5</v>
      </c>
      <c r="G359" s="384" t="s">
        <v>32</v>
      </c>
      <c r="H359" s="386">
        <v>15</v>
      </c>
      <c r="I359" s="386"/>
      <c r="J359" s="384">
        <v>45</v>
      </c>
      <c r="K359" s="384"/>
      <c r="L359" s="384"/>
      <c r="M359" s="384">
        <v>15</v>
      </c>
      <c r="N359" s="230"/>
      <c r="O359" s="384">
        <v>3</v>
      </c>
      <c r="P359" s="230"/>
      <c r="Q359" s="230"/>
      <c r="R359" s="230"/>
      <c r="S359" s="230"/>
      <c r="T359" s="231"/>
      <c r="U359" s="384"/>
      <c r="V359" s="384"/>
      <c r="W359" s="384"/>
      <c r="X359" s="384"/>
      <c r="Y359" s="232">
        <v>2.1</v>
      </c>
      <c r="Z359" s="228" t="s">
        <v>635</v>
      </c>
      <c r="AE359" s="184"/>
      <c r="AF359" s="184"/>
    </row>
    <row r="360" spans="1:32" s="1" customFormat="1" ht="19.5" customHeight="1" x14ac:dyDescent="0.3">
      <c r="A360" s="369"/>
      <c r="B360" s="405"/>
      <c r="C360" s="383"/>
      <c r="D360" s="225" t="s">
        <v>52</v>
      </c>
      <c r="E360" s="386" t="s">
        <v>589</v>
      </c>
      <c r="F360" s="384">
        <v>5</v>
      </c>
      <c r="G360" s="384" t="s">
        <v>32</v>
      </c>
      <c r="H360" s="386">
        <v>15</v>
      </c>
      <c r="I360" s="386"/>
      <c r="J360" s="384">
        <v>45</v>
      </c>
      <c r="K360" s="384"/>
      <c r="L360" s="384"/>
      <c r="M360" s="384"/>
      <c r="N360" s="230"/>
      <c r="O360" s="384"/>
      <c r="P360" s="230"/>
      <c r="Q360" s="230"/>
      <c r="R360" s="230"/>
      <c r="S360" s="230"/>
      <c r="T360" s="231"/>
      <c r="U360" s="384"/>
      <c r="V360" s="384"/>
      <c r="W360" s="384"/>
      <c r="X360" s="384"/>
      <c r="Y360" s="232">
        <v>1.5</v>
      </c>
      <c r="Z360" s="228" t="s">
        <v>634</v>
      </c>
      <c r="AE360" s="184"/>
      <c r="AF360" s="184"/>
    </row>
    <row r="361" spans="1:32" s="1" customFormat="1" ht="19.5" customHeight="1" x14ac:dyDescent="0.3">
      <c r="A361" s="369"/>
      <c r="B361" s="405"/>
      <c r="C361" s="383"/>
      <c r="D361" s="225" t="s">
        <v>52</v>
      </c>
      <c r="E361" s="386" t="s">
        <v>590</v>
      </c>
      <c r="F361" s="384">
        <v>5</v>
      </c>
      <c r="G361" s="384" t="s">
        <v>32</v>
      </c>
      <c r="H361" s="386">
        <v>15</v>
      </c>
      <c r="I361" s="386"/>
      <c r="J361" s="384">
        <v>45</v>
      </c>
      <c r="K361" s="384"/>
      <c r="L361" s="384"/>
      <c r="M361" s="384"/>
      <c r="N361" s="230"/>
      <c r="O361" s="384">
        <v>3</v>
      </c>
      <c r="P361" s="230"/>
      <c r="Q361" s="230"/>
      <c r="R361" s="230"/>
      <c r="S361" s="230"/>
      <c r="T361" s="231"/>
      <c r="U361" s="384"/>
      <c r="V361" s="384"/>
      <c r="W361" s="384"/>
      <c r="X361" s="384"/>
      <c r="Y361" s="232">
        <v>1.6</v>
      </c>
      <c r="Z361" s="228" t="s">
        <v>634</v>
      </c>
      <c r="AE361" s="184"/>
      <c r="AF361" s="184"/>
    </row>
    <row r="362" spans="1:32" s="1" customFormat="1" ht="19.5" customHeight="1" x14ac:dyDescent="0.3">
      <c r="A362" s="369"/>
      <c r="B362" s="405"/>
      <c r="C362" s="383"/>
      <c r="D362" s="225" t="s">
        <v>52</v>
      </c>
      <c r="E362" s="386" t="s">
        <v>591</v>
      </c>
      <c r="F362" s="384">
        <v>5</v>
      </c>
      <c r="G362" s="384" t="s">
        <v>32</v>
      </c>
      <c r="H362" s="386">
        <v>15</v>
      </c>
      <c r="I362" s="386"/>
      <c r="J362" s="384">
        <v>45</v>
      </c>
      <c r="K362" s="384"/>
      <c r="L362" s="384"/>
      <c r="M362" s="384"/>
      <c r="N362" s="230"/>
      <c r="O362" s="384"/>
      <c r="P362" s="230"/>
      <c r="Q362" s="230"/>
      <c r="R362" s="230"/>
      <c r="S362" s="230"/>
      <c r="T362" s="231"/>
      <c r="U362" s="384"/>
      <c r="V362" s="384"/>
      <c r="W362" s="384"/>
      <c r="X362" s="384"/>
      <c r="Y362" s="232">
        <v>1.5</v>
      </c>
      <c r="Z362" s="228" t="s">
        <v>634</v>
      </c>
      <c r="AE362" s="184"/>
      <c r="AF362" s="184"/>
    </row>
    <row r="363" spans="1:32" s="1" customFormat="1" ht="20.25" customHeight="1" x14ac:dyDescent="0.3">
      <c r="A363" s="398"/>
      <c r="B363" s="395" t="s">
        <v>50</v>
      </c>
      <c r="C363" s="375"/>
      <c r="D363" s="384" t="s">
        <v>45</v>
      </c>
      <c r="E363" s="384" t="s">
        <v>95</v>
      </c>
      <c r="F363" s="384">
        <v>5</v>
      </c>
      <c r="G363" s="384" t="s">
        <v>35</v>
      </c>
      <c r="H363" s="384">
        <v>25</v>
      </c>
      <c r="I363" s="386">
        <v>30</v>
      </c>
      <c r="J363" s="384">
        <v>15</v>
      </c>
      <c r="K363" s="384"/>
      <c r="L363" s="384"/>
      <c r="M363" s="384">
        <v>15</v>
      </c>
      <c r="N363" s="230"/>
      <c r="O363" s="230">
        <v>3</v>
      </c>
      <c r="P363" s="230"/>
      <c r="Q363" s="230"/>
      <c r="R363" s="230"/>
      <c r="S363" s="230"/>
      <c r="T363" s="231"/>
      <c r="U363" s="384"/>
      <c r="V363" s="384"/>
      <c r="W363" s="384"/>
      <c r="X363" s="384"/>
      <c r="Y363" s="232">
        <v>2.1</v>
      </c>
      <c r="Z363" s="228" t="s">
        <v>616</v>
      </c>
      <c r="AE363" s="184"/>
      <c r="AF363" s="184"/>
    </row>
    <row r="364" spans="1:32" s="1" customFormat="1" ht="20.25" customHeight="1" x14ac:dyDescent="0.3">
      <c r="A364" s="398"/>
      <c r="B364" s="396"/>
      <c r="C364" s="376"/>
      <c r="D364" s="384" t="s">
        <v>45</v>
      </c>
      <c r="E364" s="384" t="s">
        <v>96</v>
      </c>
      <c r="F364" s="384">
        <v>5</v>
      </c>
      <c r="G364" s="384" t="s">
        <v>35</v>
      </c>
      <c r="H364" s="384">
        <v>25</v>
      </c>
      <c r="I364" s="386"/>
      <c r="J364" s="384">
        <v>15</v>
      </c>
      <c r="K364" s="384"/>
      <c r="L364" s="384"/>
      <c r="M364" s="384"/>
      <c r="N364" s="230"/>
      <c r="O364" s="230">
        <v>3</v>
      </c>
      <c r="P364" s="230"/>
      <c r="Q364" s="230"/>
      <c r="R364" s="230"/>
      <c r="S364" s="230"/>
      <c r="T364" s="231"/>
      <c r="U364" s="384"/>
      <c r="V364" s="384"/>
      <c r="W364" s="384"/>
      <c r="X364" s="384"/>
      <c r="Y364" s="232">
        <v>0.6</v>
      </c>
      <c r="Z364" s="228" t="s">
        <v>616</v>
      </c>
      <c r="AE364" s="184"/>
      <c r="AF364" s="184"/>
    </row>
    <row r="365" spans="1:32" s="1" customFormat="1" ht="20.25" customHeight="1" x14ac:dyDescent="0.3">
      <c r="A365" s="398"/>
      <c r="B365" s="396"/>
      <c r="C365" s="376"/>
      <c r="D365" s="384" t="s">
        <v>45</v>
      </c>
      <c r="E365" s="384" t="s">
        <v>151</v>
      </c>
      <c r="F365" s="384">
        <v>5</v>
      </c>
      <c r="G365" s="384" t="s">
        <v>35</v>
      </c>
      <c r="H365" s="384">
        <v>26</v>
      </c>
      <c r="I365" s="386"/>
      <c r="J365" s="384">
        <v>15</v>
      </c>
      <c r="K365" s="384"/>
      <c r="L365" s="384"/>
      <c r="M365" s="384"/>
      <c r="N365" s="230"/>
      <c r="O365" s="230">
        <v>3</v>
      </c>
      <c r="P365" s="230"/>
      <c r="Q365" s="230"/>
      <c r="R365" s="230"/>
      <c r="S365" s="230"/>
      <c r="T365" s="231"/>
      <c r="U365" s="384"/>
      <c r="V365" s="384"/>
      <c r="W365" s="384"/>
      <c r="X365" s="384"/>
      <c r="Y365" s="232">
        <v>0.6</v>
      </c>
      <c r="Z365" s="228" t="s">
        <v>616</v>
      </c>
      <c r="AE365" s="184"/>
      <c r="AF365" s="184"/>
    </row>
    <row r="366" spans="1:32" s="1" customFormat="1" ht="20.25" customHeight="1" x14ac:dyDescent="0.3">
      <c r="A366" s="398"/>
      <c r="B366" s="396"/>
      <c r="C366" s="376"/>
      <c r="D366" s="384" t="s">
        <v>45</v>
      </c>
      <c r="E366" s="384" t="s">
        <v>152</v>
      </c>
      <c r="F366" s="384">
        <v>5</v>
      </c>
      <c r="G366" s="384" t="s">
        <v>35</v>
      </c>
      <c r="H366" s="384">
        <v>26</v>
      </c>
      <c r="I366" s="386"/>
      <c r="J366" s="384">
        <v>15</v>
      </c>
      <c r="K366" s="384"/>
      <c r="L366" s="384"/>
      <c r="M366" s="384"/>
      <c r="N366" s="230"/>
      <c r="O366" s="230">
        <v>3</v>
      </c>
      <c r="P366" s="230"/>
      <c r="Q366" s="230"/>
      <c r="R366" s="230"/>
      <c r="S366" s="230"/>
      <c r="T366" s="231"/>
      <c r="U366" s="384"/>
      <c r="V366" s="384"/>
      <c r="W366" s="384"/>
      <c r="X366" s="384"/>
      <c r="Y366" s="232">
        <v>0.6</v>
      </c>
      <c r="Z366" s="228" t="s">
        <v>616</v>
      </c>
      <c r="AE366" s="184"/>
      <c r="AF366" s="184"/>
    </row>
    <row r="367" spans="1:32" s="1" customFormat="1" ht="20.25" customHeight="1" x14ac:dyDescent="0.3">
      <c r="A367" s="398"/>
      <c r="B367" s="396"/>
      <c r="C367" s="376"/>
      <c r="D367" s="384" t="s">
        <v>45</v>
      </c>
      <c r="E367" s="384" t="s">
        <v>166</v>
      </c>
      <c r="F367" s="384">
        <v>5</v>
      </c>
      <c r="G367" s="384" t="s">
        <v>35</v>
      </c>
      <c r="H367" s="384">
        <v>26</v>
      </c>
      <c r="I367" s="386"/>
      <c r="J367" s="384">
        <v>15</v>
      </c>
      <c r="K367" s="384"/>
      <c r="L367" s="384"/>
      <c r="M367" s="384"/>
      <c r="N367" s="230"/>
      <c r="O367" s="230">
        <v>3</v>
      </c>
      <c r="P367" s="230"/>
      <c r="Q367" s="230"/>
      <c r="R367" s="230"/>
      <c r="S367" s="230"/>
      <c r="T367" s="231"/>
      <c r="U367" s="384"/>
      <c r="V367" s="384"/>
      <c r="W367" s="384"/>
      <c r="X367" s="384"/>
      <c r="Y367" s="232">
        <v>0.6</v>
      </c>
      <c r="Z367" s="228" t="s">
        <v>616</v>
      </c>
      <c r="AE367" s="184"/>
      <c r="AF367" s="184"/>
    </row>
    <row r="368" spans="1:32" s="1" customFormat="1" ht="20.25" customHeight="1" x14ac:dyDescent="0.3">
      <c r="A368" s="398"/>
      <c r="B368" s="396"/>
      <c r="C368" s="376"/>
      <c r="D368" s="384" t="s">
        <v>61</v>
      </c>
      <c r="E368" s="384" t="s">
        <v>153</v>
      </c>
      <c r="F368" s="384">
        <v>5</v>
      </c>
      <c r="G368" s="386" t="s">
        <v>35</v>
      </c>
      <c r="H368" s="386">
        <v>11</v>
      </c>
      <c r="I368" s="386">
        <v>30</v>
      </c>
      <c r="J368" s="384">
        <v>15</v>
      </c>
      <c r="K368" s="384"/>
      <c r="L368" s="384"/>
      <c r="M368" s="384">
        <v>15</v>
      </c>
      <c r="N368" s="230"/>
      <c r="O368" s="230">
        <v>3</v>
      </c>
      <c r="P368" s="230"/>
      <c r="Q368" s="230"/>
      <c r="R368" s="230"/>
      <c r="S368" s="230"/>
      <c r="T368" s="231"/>
      <c r="U368" s="384"/>
      <c r="V368" s="384"/>
      <c r="W368" s="384"/>
      <c r="X368" s="384"/>
      <c r="Y368" s="232">
        <v>2.1</v>
      </c>
      <c r="Z368" s="228" t="s">
        <v>616</v>
      </c>
      <c r="AE368" s="184"/>
      <c r="AF368" s="184"/>
    </row>
    <row r="369" spans="1:32" s="1" customFormat="1" ht="20.25" customHeight="1" x14ac:dyDescent="0.3">
      <c r="A369" s="398"/>
      <c r="B369" s="396"/>
      <c r="C369" s="376"/>
      <c r="D369" s="384" t="s">
        <v>43</v>
      </c>
      <c r="E369" s="384" t="s">
        <v>111</v>
      </c>
      <c r="F369" s="384">
        <v>5</v>
      </c>
      <c r="G369" s="384" t="s">
        <v>35</v>
      </c>
      <c r="H369" s="384">
        <v>12</v>
      </c>
      <c r="I369" s="386"/>
      <c r="J369" s="384"/>
      <c r="K369" s="384"/>
      <c r="L369" s="384"/>
      <c r="M369" s="384"/>
      <c r="N369" s="230"/>
      <c r="O369" s="230"/>
      <c r="P369" s="230"/>
      <c r="Q369" s="230"/>
      <c r="R369" s="230"/>
      <c r="S369" s="230"/>
      <c r="T369" s="231"/>
      <c r="U369" s="384"/>
      <c r="V369" s="384"/>
      <c r="W369" s="384"/>
      <c r="X369" s="384"/>
      <c r="Y369" s="232">
        <v>0</v>
      </c>
      <c r="Z369" s="228" t="s">
        <v>616</v>
      </c>
      <c r="AE369" s="184"/>
      <c r="AF369" s="184"/>
    </row>
    <row r="370" spans="1:32" s="1" customFormat="1" ht="20.25" customHeight="1" x14ac:dyDescent="0.3">
      <c r="A370" s="398"/>
      <c r="B370" s="396"/>
      <c r="C370" s="376"/>
      <c r="D370" s="384" t="s">
        <v>51</v>
      </c>
      <c r="E370" s="384" t="s">
        <v>100</v>
      </c>
      <c r="F370" s="384">
        <v>5</v>
      </c>
      <c r="G370" s="386" t="s">
        <v>35</v>
      </c>
      <c r="H370" s="384">
        <v>27</v>
      </c>
      <c r="I370" s="386"/>
      <c r="J370" s="384">
        <v>15</v>
      </c>
      <c r="K370" s="384"/>
      <c r="L370" s="384"/>
      <c r="M370" s="384"/>
      <c r="N370" s="230"/>
      <c r="O370" s="230">
        <v>3</v>
      </c>
      <c r="P370" s="230"/>
      <c r="Q370" s="230"/>
      <c r="R370" s="230"/>
      <c r="S370" s="230"/>
      <c r="T370" s="231"/>
      <c r="U370" s="384"/>
      <c r="V370" s="384"/>
      <c r="W370" s="384"/>
      <c r="X370" s="384"/>
      <c r="Y370" s="232">
        <v>0.6</v>
      </c>
      <c r="Z370" s="228" t="s">
        <v>616</v>
      </c>
      <c r="AE370" s="184"/>
      <c r="AF370" s="184"/>
    </row>
    <row r="371" spans="1:32" s="1" customFormat="1" ht="20.25" customHeight="1" x14ac:dyDescent="0.3">
      <c r="A371" s="398"/>
      <c r="B371" s="396"/>
      <c r="C371" s="376"/>
      <c r="D371" s="225" t="s">
        <v>46</v>
      </c>
      <c r="E371" s="386" t="s">
        <v>86</v>
      </c>
      <c r="F371" s="384">
        <v>5</v>
      </c>
      <c r="G371" s="386" t="s">
        <v>35</v>
      </c>
      <c r="H371" s="386">
        <v>19</v>
      </c>
      <c r="I371" s="386"/>
      <c r="J371" s="384">
        <v>15</v>
      </c>
      <c r="K371" s="384"/>
      <c r="L371" s="384"/>
      <c r="M371" s="384"/>
      <c r="N371" s="230"/>
      <c r="O371" s="230">
        <v>3</v>
      </c>
      <c r="P371" s="230"/>
      <c r="Q371" s="230"/>
      <c r="R371" s="230"/>
      <c r="S371" s="230"/>
      <c r="T371" s="231"/>
      <c r="U371" s="384"/>
      <c r="V371" s="384"/>
      <c r="W371" s="384"/>
      <c r="X371" s="384"/>
      <c r="Y371" s="232">
        <v>0.6</v>
      </c>
      <c r="Z371" s="228" t="s">
        <v>616</v>
      </c>
      <c r="AE371" s="184"/>
      <c r="AF371" s="184"/>
    </row>
    <row r="372" spans="1:32" s="1" customFormat="1" ht="20.25" customHeight="1" x14ac:dyDescent="0.3">
      <c r="A372" s="398"/>
      <c r="B372" s="396"/>
      <c r="C372" s="376"/>
      <c r="D372" s="225" t="s">
        <v>46</v>
      </c>
      <c r="E372" s="386" t="s">
        <v>88</v>
      </c>
      <c r="F372" s="384">
        <v>5</v>
      </c>
      <c r="G372" s="386" t="s">
        <v>35</v>
      </c>
      <c r="H372" s="386">
        <v>18</v>
      </c>
      <c r="I372" s="386"/>
      <c r="J372" s="384">
        <v>15</v>
      </c>
      <c r="K372" s="384"/>
      <c r="L372" s="384"/>
      <c r="M372" s="384"/>
      <c r="N372" s="230"/>
      <c r="O372" s="230">
        <v>3</v>
      </c>
      <c r="P372" s="230"/>
      <c r="Q372" s="230"/>
      <c r="R372" s="230"/>
      <c r="S372" s="230"/>
      <c r="T372" s="231"/>
      <c r="U372" s="384"/>
      <c r="V372" s="384"/>
      <c r="W372" s="384"/>
      <c r="X372" s="384"/>
      <c r="Y372" s="232">
        <v>0.6</v>
      </c>
      <c r="Z372" s="228" t="s">
        <v>616</v>
      </c>
      <c r="AE372" s="184"/>
      <c r="AF372" s="184"/>
    </row>
    <row r="373" spans="1:32" s="1" customFormat="1" ht="20.25" customHeight="1" x14ac:dyDescent="0.3">
      <c r="A373" s="398"/>
      <c r="B373" s="396"/>
      <c r="C373" s="376"/>
      <c r="D373" s="225" t="s">
        <v>114</v>
      </c>
      <c r="E373" s="384" t="s">
        <v>155</v>
      </c>
      <c r="F373" s="384">
        <v>5</v>
      </c>
      <c r="G373" s="386" t="s">
        <v>35</v>
      </c>
      <c r="H373" s="384">
        <v>27</v>
      </c>
      <c r="I373" s="386"/>
      <c r="J373" s="384">
        <v>15</v>
      </c>
      <c r="K373" s="384"/>
      <c r="L373" s="384"/>
      <c r="M373" s="384"/>
      <c r="N373" s="230"/>
      <c r="O373" s="230">
        <v>3</v>
      </c>
      <c r="P373" s="230"/>
      <c r="Q373" s="230"/>
      <c r="R373" s="230"/>
      <c r="S373" s="230"/>
      <c r="T373" s="231"/>
      <c r="U373" s="384"/>
      <c r="V373" s="384"/>
      <c r="W373" s="384"/>
      <c r="X373" s="384"/>
      <c r="Y373" s="232">
        <v>0.6</v>
      </c>
      <c r="Z373" s="228" t="s">
        <v>616</v>
      </c>
      <c r="AE373" s="184"/>
      <c r="AF373" s="184"/>
    </row>
    <row r="374" spans="1:32" s="1" customFormat="1" ht="20.25" customHeight="1" x14ac:dyDescent="0.3">
      <c r="A374" s="398"/>
      <c r="B374" s="396"/>
      <c r="C374" s="376"/>
      <c r="D374" s="225" t="s">
        <v>44</v>
      </c>
      <c r="E374" s="386" t="s">
        <v>87</v>
      </c>
      <c r="F374" s="384">
        <v>5</v>
      </c>
      <c r="G374" s="386" t="s">
        <v>35</v>
      </c>
      <c r="H374" s="384">
        <v>20</v>
      </c>
      <c r="I374" s="386"/>
      <c r="J374" s="384">
        <v>15</v>
      </c>
      <c r="K374" s="384"/>
      <c r="L374" s="384"/>
      <c r="M374" s="384"/>
      <c r="N374" s="230"/>
      <c r="O374" s="230">
        <v>3</v>
      </c>
      <c r="P374" s="230"/>
      <c r="Q374" s="230"/>
      <c r="R374" s="230"/>
      <c r="S374" s="230"/>
      <c r="T374" s="231"/>
      <c r="U374" s="384"/>
      <c r="V374" s="384"/>
      <c r="W374" s="384"/>
      <c r="X374" s="384"/>
      <c r="Y374" s="232">
        <v>0.6</v>
      </c>
      <c r="Z374" s="228" t="s">
        <v>616</v>
      </c>
      <c r="AE374" s="184"/>
      <c r="AF374" s="184"/>
    </row>
    <row r="375" spans="1:32" s="1" customFormat="1" ht="20.25" customHeight="1" x14ac:dyDescent="0.3">
      <c r="A375" s="398"/>
      <c r="B375" s="396"/>
      <c r="C375" s="376"/>
      <c r="D375" s="384" t="s">
        <v>60</v>
      </c>
      <c r="E375" s="384" t="s">
        <v>98</v>
      </c>
      <c r="F375" s="384">
        <v>5</v>
      </c>
      <c r="G375" s="386" t="s">
        <v>35</v>
      </c>
      <c r="H375" s="386">
        <v>16</v>
      </c>
      <c r="I375" s="386">
        <v>30</v>
      </c>
      <c r="J375" s="384">
        <v>15</v>
      </c>
      <c r="K375" s="384"/>
      <c r="L375" s="384"/>
      <c r="M375" s="384">
        <v>15</v>
      </c>
      <c r="N375" s="230"/>
      <c r="O375" s="230">
        <v>3</v>
      </c>
      <c r="P375" s="230"/>
      <c r="Q375" s="230"/>
      <c r="R375" s="230"/>
      <c r="S375" s="230"/>
      <c r="T375" s="231"/>
      <c r="U375" s="384"/>
      <c r="V375" s="384"/>
      <c r="W375" s="384"/>
      <c r="X375" s="384"/>
      <c r="Y375" s="232">
        <v>2.1</v>
      </c>
      <c r="Z375" s="228" t="s">
        <v>616</v>
      </c>
      <c r="AE375" s="184"/>
      <c r="AF375" s="184"/>
    </row>
    <row r="376" spans="1:32" s="1" customFormat="1" ht="20.25" customHeight="1" x14ac:dyDescent="0.3">
      <c r="A376" s="398"/>
      <c r="B376" s="396"/>
      <c r="C376" s="376"/>
      <c r="D376" s="386" t="s">
        <v>210</v>
      </c>
      <c r="E376" s="386" t="s">
        <v>251</v>
      </c>
      <c r="F376" s="384">
        <v>5</v>
      </c>
      <c r="G376" s="386" t="s">
        <v>35</v>
      </c>
      <c r="H376" s="386">
        <v>6</v>
      </c>
      <c r="I376" s="386"/>
      <c r="J376" s="384"/>
      <c r="K376" s="384"/>
      <c r="L376" s="384"/>
      <c r="M376" s="384"/>
      <c r="N376" s="230"/>
      <c r="O376" s="230"/>
      <c r="P376" s="230"/>
      <c r="Q376" s="230"/>
      <c r="R376" s="230"/>
      <c r="S376" s="230"/>
      <c r="T376" s="231"/>
      <c r="U376" s="384"/>
      <c r="V376" s="384"/>
      <c r="W376" s="384"/>
      <c r="X376" s="384"/>
      <c r="Y376" s="232">
        <v>0</v>
      </c>
      <c r="Z376" s="228" t="s">
        <v>616</v>
      </c>
      <c r="AE376" s="184"/>
      <c r="AF376" s="184"/>
    </row>
    <row r="377" spans="1:32" s="1" customFormat="1" ht="20.25" customHeight="1" x14ac:dyDescent="0.3">
      <c r="A377" s="398"/>
      <c r="B377" s="396"/>
      <c r="C377" s="376"/>
      <c r="D377" s="384" t="s">
        <v>49</v>
      </c>
      <c r="E377" s="384" t="s">
        <v>91</v>
      </c>
      <c r="F377" s="384">
        <v>5</v>
      </c>
      <c r="G377" s="384" t="s">
        <v>35</v>
      </c>
      <c r="H377" s="384">
        <v>22</v>
      </c>
      <c r="I377" s="386"/>
      <c r="J377" s="384">
        <v>15</v>
      </c>
      <c r="K377" s="384"/>
      <c r="L377" s="384"/>
      <c r="M377" s="384"/>
      <c r="N377" s="230"/>
      <c r="O377" s="230">
        <v>3</v>
      </c>
      <c r="P377" s="230"/>
      <c r="Q377" s="230"/>
      <c r="R377" s="230"/>
      <c r="S377" s="230"/>
      <c r="T377" s="231"/>
      <c r="U377" s="384"/>
      <c r="V377" s="384"/>
      <c r="W377" s="384"/>
      <c r="X377" s="384"/>
      <c r="Y377" s="232">
        <v>0.6</v>
      </c>
      <c r="Z377" s="228" t="s">
        <v>616</v>
      </c>
      <c r="AE377" s="184"/>
      <c r="AF377" s="184"/>
    </row>
    <row r="378" spans="1:32" s="1" customFormat="1" ht="20.25" customHeight="1" x14ac:dyDescent="0.3">
      <c r="A378" s="398"/>
      <c r="B378" s="396"/>
      <c r="C378" s="376"/>
      <c r="D378" s="384" t="s">
        <v>198</v>
      </c>
      <c r="E378" s="384" t="s">
        <v>90</v>
      </c>
      <c r="F378" s="384">
        <v>5</v>
      </c>
      <c r="G378" s="386" t="s">
        <v>35</v>
      </c>
      <c r="H378" s="384">
        <v>10</v>
      </c>
      <c r="I378" s="386"/>
      <c r="J378" s="384"/>
      <c r="K378" s="384"/>
      <c r="L378" s="384"/>
      <c r="M378" s="384"/>
      <c r="N378" s="230"/>
      <c r="O378" s="230"/>
      <c r="P378" s="230"/>
      <c r="Q378" s="230"/>
      <c r="R378" s="230"/>
      <c r="S378" s="230"/>
      <c r="T378" s="231"/>
      <c r="U378" s="384"/>
      <c r="V378" s="384"/>
      <c r="W378" s="384"/>
      <c r="X378" s="384"/>
      <c r="Y378" s="232">
        <v>0</v>
      </c>
      <c r="Z378" s="228" t="s">
        <v>616</v>
      </c>
      <c r="AE378" s="184"/>
      <c r="AF378" s="184"/>
    </row>
    <row r="379" spans="1:32" s="1" customFormat="1" ht="20.25" customHeight="1" x14ac:dyDescent="0.3">
      <c r="A379" s="398"/>
      <c r="B379" s="396"/>
      <c r="C379" s="376"/>
      <c r="D379" s="386" t="s">
        <v>81</v>
      </c>
      <c r="E379" s="386" t="s">
        <v>204</v>
      </c>
      <c r="F379" s="384">
        <v>5</v>
      </c>
      <c r="G379" s="386" t="s">
        <v>35</v>
      </c>
      <c r="H379" s="384">
        <v>25</v>
      </c>
      <c r="I379" s="386"/>
      <c r="J379" s="384">
        <v>15</v>
      </c>
      <c r="K379" s="384"/>
      <c r="L379" s="384"/>
      <c r="M379" s="384">
        <v>15</v>
      </c>
      <c r="N379" s="230"/>
      <c r="O379" s="230">
        <v>3</v>
      </c>
      <c r="P379" s="230"/>
      <c r="Q379" s="230"/>
      <c r="R379" s="230"/>
      <c r="S379" s="230"/>
      <c r="T379" s="231"/>
      <c r="U379" s="384"/>
      <c r="V379" s="384"/>
      <c r="W379" s="384"/>
      <c r="X379" s="384"/>
      <c r="Y379" s="232">
        <v>1.1000000000000001</v>
      </c>
      <c r="Z379" s="228" t="s">
        <v>616</v>
      </c>
      <c r="AE379" s="184"/>
      <c r="AF379" s="184"/>
    </row>
    <row r="380" spans="1:32" s="1" customFormat="1" ht="26.25" customHeight="1" x14ac:dyDescent="0.3">
      <c r="A380" s="398"/>
      <c r="B380" s="396"/>
      <c r="C380" s="376"/>
      <c r="D380" s="386" t="s">
        <v>81</v>
      </c>
      <c r="E380" s="386" t="s">
        <v>205</v>
      </c>
      <c r="F380" s="384">
        <v>5</v>
      </c>
      <c r="G380" s="386" t="s">
        <v>35</v>
      </c>
      <c r="H380" s="384">
        <v>26</v>
      </c>
      <c r="I380" s="386"/>
      <c r="J380" s="384">
        <v>15</v>
      </c>
      <c r="K380" s="384"/>
      <c r="L380" s="384"/>
      <c r="M380" s="384"/>
      <c r="N380" s="230"/>
      <c r="O380" s="230">
        <v>3</v>
      </c>
      <c r="P380" s="230"/>
      <c r="Q380" s="230"/>
      <c r="R380" s="230"/>
      <c r="S380" s="230"/>
      <c r="T380" s="231"/>
      <c r="U380" s="384"/>
      <c r="V380" s="384"/>
      <c r="W380" s="384"/>
      <c r="X380" s="384"/>
      <c r="Y380" s="232">
        <v>0.6</v>
      </c>
      <c r="Z380" s="228" t="s">
        <v>616</v>
      </c>
      <c r="AE380" s="184"/>
      <c r="AF380" s="184"/>
    </row>
    <row r="381" spans="1:32" s="1" customFormat="1" ht="26.25" customHeight="1" x14ac:dyDescent="0.3">
      <c r="A381" s="398"/>
      <c r="B381" s="396"/>
      <c r="C381" s="376"/>
      <c r="D381" s="386" t="s">
        <v>81</v>
      </c>
      <c r="E381" s="386" t="s">
        <v>206</v>
      </c>
      <c r="F381" s="384">
        <v>5</v>
      </c>
      <c r="G381" s="386" t="s">
        <v>35</v>
      </c>
      <c r="H381" s="384">
        <v>25</v>
      </c>
      <c r="I381" s="386"/>
      <c r="J381" s="384">
        <v>15</v>
      </c>
      <c r="K381" s="384"/>
      <c r="L381" s="384"/>
      <c r="M381" s="384"/>
      <c r="N381" s="230"/>
      <c r="O381" s="230">
        <v>3</v>
      </c>
      <c r="P381" s="230"/>
      <c r="Q381" s="230"/>
      <c r="R381" s="230"/>
      <c r="S381" s="230"/>
      <c r="T381" s="231"/>
      <c r="U381" s="384"/>
      <c r="V381" s="384"/>
      <c r="W381" s="384"/>
      <c r="X381" s="384"/>
      <c r="Y381" s="232">
        <v>0.6</v>
      </c>
      <c r="Z381" s="228" t="s">
        <v>616</v>
      </c>
      <c r="AE381" s="184"/>
      <c r="AF381" s="184"/>
    </row>
    <row r="382" spans="1:32" s="1" customFormat="1" ht="20.25" customHeight="1" x14ac:dyDescent="0.3">
      <c r="A382" s="398"/>
      <c r="B382" s="396"/>
      <c r="C382" s="376"/>
      <c r="D382" s="384" t="s">
        <v>51</v>
      </c>
      <c r="E382" s="384" t="s">
        <v>101</v>
      </c>
      <c r="F382" s="384">
        <v>5</v>
      </c>
      <c r="G382" s="386" t="s">
        <v>32</v>
      </c>
      <c r="H382" s="384">
        <v>10</v>
      </c>
      <c r="I382" s="386">
        <v>30</v>
      </c>
      <c r="J382" s="384">
        <v>15</v>
      </c>
      <c r="K382" s="384"/>
      <c r="L382" s="384"/>
      <c r="M382" s="384">
        <v>15</v>
      </c>
      <c r="N382" s="230"/>
      <c r="O382" s="230">
        <v>3</v>
      </c>
      <c r="P382" s="230"/>
      <c r="Q382" s="230"/>
      <c r="R382" s="230"/>
      <c r="S382" s="230"/>
      <c r="T382" s="231"/>
      <c r="U382" s="384"/>
      <c r="V382" s="384"/>
      <c r="W382" s="384"/>
      <c r="X382" s="384"/>
      <c r="Y382" s="232">
        <v>2.1</v>
      </c>
      <c r="Z382" s="228" t="s">
        <v>603</v>
      </c>
      <c r="AE382" s="184"/>
      <c r="AF382" s="184"/>
    </row>
    <row r="383" spans="1:32" s="1" customFormat="1" ht="20.25" customHeight="1" x14ac:dyDescent="0.25">
      <c r="A383" s="398"/>
      <c r="B383" s="396"/>
      <c r="C383" s="376"/>
      <c r="D383" s="225" t="s">
        <v>41</v>
      </c>
      <c r="E383" s="384" t="s">
        <v>168</v>
      </c>
      <c r="F383" s="384">
        <v>5</v>
      </c>
      <c r="G383" s="384" t="s">
        <v>32</v>
      </c>
      <c r="H383" s="384">
        <v>10</v>
      </c>
      <c r="I383" s="234"/>
      <c r="J383" s="384"/>
      <c r="K383" s="384"/>
      <c r="L383" s="384"/>
      <c r="M383" s="384"/>
      <c r="N383" s="384"/>
      <c r="O383" s="384"/>
      <c r="P383" s="384"/>
      <c r="Q383" s="384"/>
      <c r="R383" s="384"/>
      <c r="S383" s="384"/>
      <c r="T383" s="384"/>
      <c r="U383" s="384"/>
      <c r="V383" s="384"/>
      <c r="W383" s="384"/>
      <c r="X383" s="384"/>
      <c r="Y383" s="232">
        <v>0</v>
      </c>
      <c r="Z383" s="228" t="s">
        <v>603</v>
      </c>
      <c r="AE383" s="184"/>
      <c r="AF383" s="184"/>
    </row>
    <row r="384" spans="1:32" s="1" customFormat="1" ht="20.25" customHeight="1" x14ac:dyDescent="0.25">
      <c r="A384" s="398"/>
      <c r="B384" s="396"/>
      <c r="C384" s="376"/>
      <c r="D384" s="225" t="s">
        <v>44</v>
      </c>
      <c r="E384" s="386" t="s">
        <v>169</v>
      </c>
      <c r="F384" s="384">
        <v>5</v>
      </c>
      <c r="G384" s="384" t="s">
        <v>32</v>
      </c>
      <c r="H384" s="384">
        <v>9</v>
      </c>
      <c r="I384" s="234"/>
      <c r="J384" s="384"/>
      <c r="K384" s="384"/>
      <c r="L384" s="384"/>
      <c r="M384" s="384"/>
      <c r="N384" s="384"/>
      <c r="O384" s="384"/>
      <c r="P384" s="384"/>
      <c r="Q384" s="384"/>
      <c r="R384" s="384"/>
      <c r="S384" s="384"/>
      <c r="T384" s="384"/>
      <c r="U384" s="384"/>
      <c r="V384" s="384"/>
      <c r="W384" s="384"/>
      <c r="X384" s="384"/>
      <c r="Y384" s="232">
        <v>0</v>
      </c>
      <c r="Z384" s="228" t="s">
        <v>603</v>
      </c>
      <c r="AE384" s="184"/>
      <c r="AF384" s="184"/>
    </row>
    <row r="385" spans="1:32" s="1" customFormat="1" ht="20.25" customHeight="1" x14ac:dyDescent="0.3">
      <c r="A385" s="398"/>
      <c r="B385" s="396"/>
      <c r="C385" s="376"/>
      <c r="D385" s="384" t="s">
        <v>43</v>
      </c>
      <c r="E385" s="384" t="s">
        <v>89</v>
      </c>
      <c r="F385" s="384">
        <v>5</v>
      </c>
      <c r="G385" s="384" t="s">
        <v>32</v>
      </c>
      <c r="H385" s="384">
        <v>9</v>
      </c>
      <c r="I385" s="386"/>
      <c r="J385" s="384">
        <v>15</v>
      </c>
      <c r="K385" s="384"/>
      <c r="L385" s="384"/>
      <c r="M385" s="384"/>
      <c r="N385" s="230"/>
      <c r="O385" s="230">
        <v>3</v>
      </c>
      <c r="P385" s="230"/>
      <c r="Q385" s="230"/>
      <c r="R385" s="230"/>
      <c r="S385" s="230"/>
      <c r="T385" s="231"/>
      <c r="U385" s="384"/>
      <c r="V385" s="384"/>
      <c r="W385" s="384"/>
      <c r="X385" s="384"/>
      <c r="Y385" s="232">
        <v>0.6</v>
      </c>
      <c r="Z385" s="228" t="s">
        <v>603</v>
      </c>
      <c r="AE385" s="184"/>
      <c r="AF385" s="184"/>
    </row>
    <row r="386" spans="1:32" s="1" customFormat="1" ht="20.25" customHeight="1" x14ac:dyDescent="0.3">
      <c r="A386" s="398"/>
      <c r="B386" s="396"/>
      <c r="C386" s="376"/>
      <c r="D386" s="384" t="s">
        <v>49</v>
      </c>
      <c r="E386" s="384" t="s">
        <v>92</v>
      </c>
      <c r="F386" s="384">
        <v>5</v>
      </c>
      <c r="G386" s="384" t="s">
        <v>32</v>
      </c>
      <c r="H386" s="384">
        <v>5</v>
      </c>
      <c r="I386" s="386"/>
      <c r="J386" s="384"/>
      <c r="K386" s="384"/>
      <c r="L386" s="384"/>
      <c r="M386" s="384"/>
      <c r="N386" s="230"/>
      <c r="O386" s="230"/>
      <c r="P386" s="230"/>
      <c r="Q386" s="230"/>
      <c r="R386" s="230"/>
      <c r="S386" s="230"/>
      <c r="T386" s="231"/>
      <c r="U386" s="384"/>
      <c r="V386" s="384"/>
      <c r="W386" s="384"/>
      <c r="X386" s="384"/>
      <c r="Y386" s="232">
        <v>0</v>
      </c>
      <c r="Z386" s="228" t="s">
        <v>603</v>
      </c>
      <c r="AE386" s="184"/>
      <c r="AF386" s="184"/>
    </row>
    <row r="387" spans="1:32" s="1" customFormat="1" ht="20.25" customHeight="1" x14ac:dyDescent="0.3">
      <c r="A387" s="398"/>
      <c r="B387" s="396"/>
      <c r="C387" s="376"/>
      <c r="D387" s="384" t="s">
        <v>45</v>
      </c>
      <c r="E387" s="384" t="s">
        <v>112</v>
      </c>
      <c r="F387" s="384">
        <v>5</v>
      </c>
      <c r="G387" s="384" t="s">
        <v>32</v>
      </c>
      <c r="H387" s="384">
        <v>12</v>
      </c>
      <c r="I387" s="386"/>
      <c r="J387" s="384"/>
      <c r="K387" s="384"/>
      <c r="L387" s="384"/>
      <c r="M387" s="384"/>
      <c r="N387" s="230"/>
      <c r="O387" s="230"/>
      <c r="P387" s="230"/>
      <c r="Q387" s="230"/>
      <c r="R387" s="230"/>
      <c r="S387" s="230"/>
      <c r="T387" s="231"/>
      <c r="U387" s="384"/>
      <c r="V387" s="384"/>
      <c r="W387" s="384"/>
      <c r="X387" s="384"/>
      <c r="Y387" s="232">
        <v>0</v>
      </c>
      <c r="Z387" s="228" t="s">
        <v>603</v>
      </c>
      <c r="AE387" s="184"/>
      <c r="AF387" s="184"/>
    </row>
    <row r="388" spans="1:32" s="1" customFormat="1" ht="20.25" customHeight="1" x14ac:dyDescent="0.25">
      <c r="A388" s="398"/>
      <c r="B388" s="396"/>
      <c r="C388" s="376"/>
      <c r="D388" s="386" t="s">
        <v>81</v>
      </c>
      <c r="E388" s="386" t="s">
        <v>283</v>
      </c>
      <c r="F388" s="384">
        <v>5</v>
      </c>
      <c r="G388" s="386" t="s">
        <v>32</v>
      </c>
      <c r="H388" s="384">
        <v>23</v>
      </c>
      <c r="I388" s="386"/>
      <c r="J388" s="384">
        <v>15</v>
      </c>
      <c r="K388" s="384"/>
      <c r="L388" s="384"/>
      <c r="M388" s="384"/>
      <c r="N388" s="384"/>
      <c r="O388" s="384">
        <v>3</v>
      </c>
      <c r="P388" s="384"/>
      <c r="Q388" s="384"/>
      <c r="R388" s="384"/>
      <c r="S388" s="384"/>
      <c r="T388" s="384"/>
      <c r="U388" s="384"/>
      <c r="V388" s="384"/>
      <c r="W388" s="384"/>
      <c r="X388" s="384"/>
      <c r="Y388" s="232">
        <v>0.6</v>
      </c>
      <c r="Z388" s="228" t="s">
        <v>603</v>
      </c>
      <c r="AE388" s="184"/>
      <c r="AF388" s="184"/>
    </row>
    <row r="389" spans="1:32" s="1" customFormat="1" ht="20.25" customHeight="1" x14ac:dyDescent="0.3">
      <c r="A389" s="398"/>
      <c r="B389" s="396"/>
      <c r="C389" s="376"/>
      <c r="D389" s="384" t="s">
        <v>60</v>
      </c>
      <c r="E389" s="384" t="s">
        <v>99</v>
      </c>
      <c r="F389" s="384">
        <v>5</v>
      </c>
      <c r="G389" s="386" t="s">
        <v>32</v>
      </c>
      <c r="H389" s="386">
        <v>15</v>
      </c>
      <c r="I389" s="386"/>
      <c r="J389" s="384">
        <v>15</v>
      </c>
      <c r="K389" s="384"/>
      <c r="L389" s="384"/>
      <c r="M389" s="384"/>
      <c r="N389" s="230"/>
      <c r="O389" s="230">
        <v>3</v>
      </c>
      <c r="P389" s="230"/>
      <c r="Q389" s="230"/>
      <c r="R389" s="230"/>
      <c r="S389" s="230"/>
      <c r="T389" s="231"/>
      <c r="U389" s="384"/>
      <c r="V389" s="384"/>
      <c r="W389" s="384"/>
      <c r="X389" s="384"/>
      <c r="Y389" s="232">
        <v>0.6</v>
      </c>
      <c r="Z389" s="228" t="s">
        <v>603</v>
      </c>
      <c r="AE389" s="184"/>
      <c r="AF389" s="184"/>
    </row>
    <row r="390" spans="1:32" s="1" customFormat="1" ht="20.25" customHeight="1" x14ac:dyDescent="0.3">
      <c r="A390" s="398"/>
      <c r="B390" s="396"/>
      <c r="C390" s="376"/>
      <c r="D390" s="225" t="s">
        <v>114</v>
      </c>
      <c r="E390" s="384" t="s">
        <v>150</v>
      </c>
      <c r="F390" s="384">
        <v>5</v>
      </c>
      <c r="G390" s="386" t="s">
        <v>32</v>
      </c>
      <c r="H390" s="384">
        <v>10</v>
      </c>
      <c r="I390" s="386"/>
      <c r="J390" s="384"/>
      <c r="K390" s="384"/>
      <c r="L390" s="384"/>
      <c r="M390" s="384"/>
      <c r="N390" s="230"/>
      <c r="O390" s="384"/>
      <c r="P390" s="230"/>
      <c r="Q390" s="230"/>
      <c r="R390" s="230"/>
      <c r="S390" s="230"/>
      <c r="T390" s="231"/>
      <c r="U390" s="384"/>
      <c r="V390" s="384"/>
      <c r="W390" s="384"/>
      <c r="X390" s="384"/>
      <c r="Y390" s="232">
        <v>0</v>
      </c>
      <c r="Z390" s="228" t="s">
        <v>603</v>
      </c>
      <c r="AE390" s="184"/>
      <c r="AF390" s="184"/>
    </row>
    <row r="391" spans="1:32" s="1" customFormat="1" ht="20.25" customHeight="1" thickBot="1" x14ac:dyDescent="0.35">
      <c r="A391" s="398"/>
      <c r="B391" s="399"/>
      <c r="C391" s="376"/>
      <c r="D391" s="225" t="s">
        <v>46</v>
      </c>
      <c r="E391" s="386" t="s">
        <v>85</v>
      </c>
      <c r="F391" s="384">
        <v>5</v>
      </c>
      <c r="G391" s="386" t="s">
        <v>32</v>
      </c>
      <c r="H391" s="386">
        <v>5</v>
      </c>
      <c r="I391" s="386"/>
      <c r="J391" s="384"/>
      <c r="K391" s="384"/>
      <c r="L391" s="384"/>
      <c r="M391" s="384"/>
      <c r="N391" s="230"/>
      <c r="O391" s="384"/>
      <c r="P391" s="230"/>
      <c r="Q391" s="230"/>
      <c r="R391" s="230"/>
      <c r="S391" s="230"/>
      <c r="T391" s="231"/>
      <c r="U391" s="384"/>
      <c r="V391" s="384"/>
      <c r="W391" s="384"/>
      <c r="X391" s="384"/>
      <c r="Y391" s="232">
        <v>0</v>
      </c>
      <c r="Z391" s="228" t="s">
        <v>603</v>
      </c>
      <c r="AE391" s="184"/>
      <c r="AF391" s="184"/>
    </row>
    <row r="392" spans="1:32" s="1" customFormat="1" ht="20.25" customHeight="1" x14ac:dyDescent="0.25">
      <c r="A392" s="392" t="s">
        <v>160</v>
      </c>
      <c r="B392" s="393"/>
      <c r="C392" s="393"/>
      <c r="D392" s="393"/>
      <c r="E392" s="393"/>
      <c r="F392" s="393"/>
      <c r="G392" s="393"/>
      <c r="H392" s="393"/>
      <c r="I392" s="373">
        <f>SUM(I20:I391)</f>
        <v>435</v>
      </c>
      <c r="J392" s="373">
        <f>SUM(J20:J391)</f>
        <v>6844</v>
      </c>
      <c r="K392" s="373">
        <f>SUM(K20:K391)</f>
        <v>0</v>
      </c>
      <c r="L392" s="373">
        <f>SUM(L20:L391)</f>
        <v>0</v>
      </c>
      <c r="M392" s="373">
        <f>SUM(M20:M391)</f>
        <v>287</v>
      </c>
      <c r="N392" s="373">
        <f>SUM(N20:N391)</f>
        <v>0</v>
      </c>
      <c r="O392" s="373">
        <f>SUM(O20:O391)</f>
        <v>563</v>
      </c>
      <c r="P392" s="373">
        <f>SUM(P20:P391)</f>
        <v>0</v>
      </c>
      <c r="Q392" s="373">
        <f>SUM(Q20:Q391)</f>
        <v>0</v>
      </c>
      <c r="R392" s="373">
        <f>SUM(R20:R391)</f>
        <v>0</v>
      </c>
      <c r="S392" s="373">
        <f>SUM(S20:S391)</f>
        <v>0</v>
      </c>
      <c r="T392" s="373">
        <f>SUM(T20:T391)</f>
        <v>0</v>
      </c>
      <c r="U392" s="373">
        <f>SUM(U20:U391)</f>
        <v>0</v>
      </c>
      <c r="V392" s="373">
        <f>SUM(V20:V391)</f>
        <v>0</v>
      </c>
      <c r="W392" s="373">
        <f>SUM(W20:W391)</f>
        <v>0</v>
      </c>
      <c r="X392" s="373">
        <f>SUM(X20:X391)</f>
        <v>0</v>
      </c>
      <c r="Y392" s="385">
        <f>SUM(Y20:Y391)</f>
        <v>269.00999999999993</v>
      </c>
      <c r="Z392" s="184"/>
      <c r="AE392" s="184"/>
      <c r="AF392" s="184"/>
    </row>
    <row r="393" spans="1:32" s="1" customFormat="1" ht="27" customHeight="1" x14ac:dyDescent="0.25">
      <c r="A393" s="400"/>
      <c r="B393" s="401" t="s">
        <v>364</v>
      </c>
      <c r="C393" s="379"/>
      <c r="D393" s="93" t="s">
        <v>289</v>
      </c>
      <c r="E393" s="93" t="s">
        <v>358</v>
      </c>
      <c r="F393" s="388">
        <v>2</v>
      </c>
      <c r="G393" s="388" t="s">
        <v>35</v>
      </c>
      <c r="H393" s="388">
        <v>2</v>
      </c>
      <c r="I393" s="378">
        <v>7</v>
      </c>
      <c r="J393" s="378">
        <v>15</v>
      </c>
      <c r="K393" s="378"/>
      <c r="L393" s="378"/>
      <c r="M393" s="378">
        <v>4</v>
      </c>
      <c r="N393" s="378"/>
      <c r="O393" s="378">
        <v>3</v>
      </c>
      <c r="P393" s="378"/>
      <c r="Q393" s="378"/>
      <c r="R393" s="378"/>
      <c r="S393" s="378"/>
      <c r="T393" s="378"/>
      <c r="U393" s="378"/>
      <c r="V393" s="378"/>
      <c r="W393" s="378"/>
      <c r="X393" s="378"/>
      <c r="Y393" s="378">
        <v>0.9</v>
      </c>
      <c r="Z393" s="184" t="s">
        <v>616</v>
      </c>
      <c r="AE393" s="184"/>
      <c r="AF393" s="184"/>
    </row>
    <row r="394" spans="1:32" s="1" customFormat="1" ht="27" customHeight="1" x14ac:dyDescent="0.25">
      <c r="A394" s="400"/>
      <c r="B394" s="401"/>
      <c r="C394" s="379"/>
      <c r="D394" s="93" t="s">
        <v>116</v>
      </c>
      <c r="E394" s="93" t="s">
        <v>356</v>
      </c>
      <c r="F394" s="388">
        <v>2</v>
      </c>
      <c r="G394" s="388" t="s">
        <v>35</v>
      </c>
      <c r="H394" s="388">
        <v>4</v>
      </c>
      <c r="I394" s="378"/>
      <c r="J394" s="378"/>
      <c r="K394" s="378"/>
      <c r="L394" s="378"/>
      <c r="M394" s="378"/>
      <c r="N394" s="378"/>
      <c r="O394" s="378"/>
      <c r="P394" s="378"/>
      <c r="Q394" s="378"/>
      <c r="R394" s="378"/>
      <c r="S394" s="378"/>
      <c r="T394" s="378"/>
      <c r="U394" s="378"/>
      <c r="V394" s="378"/>
      <c r="W394" s="378"/>
      <c r="X394" s="378"/>
      <c r="Y394" s="378"/>
      <c r="Z394" s="184" t="s">
        <v>616</v>
      </c>
      <c r="AE394" s="184"/>
      <c r="AF394" s="184"/>
    </row>
    <row r="395" spans="1:32" s="1" customFormat="1" ht="27" customHeight="1" x14ac:dyDescent="0.25">
      <c r="A395" s="400"/>
      <c r="B395" s="401"/>
      <c r="C395" s="379"/>
      <c r="D395" s="93" t="s">
        <v>199</v>
      </c>
      <c r="E395" s="93" t="s">
        <v>368</v>
      </c>
      <c r="F395" s="388">
        <v>2</v>
      </c>
      <c r="G395" s="388" t="s">
        <v>35</v>
      </c>
      <c r="H395" s="388">
        <v>1</v>
      </c>
      <c r="I395" s="378"/>
      <c r="J395" s="378"/>
      <c r="K395" s="378"/>
      <c r="L395" s="378"/>
      <c r="M395" s="378"/>
      <c r="N395" s="378"/>
      <c r="O395" s="378"/>
      <c r="P395" s="378"/>
      <c r="Q395" s="378"/>
      <c r="R395" s="378"/>
      <c r="S395" s="378"/>
      <c r="T395" s="378"/>
      <c r="U395" s="378"/>
      <c r="V395" s="378"/>
      <c r="W395" s="378"/>
      <c r="X395" s="378"/>
      <c r="Y395" s="378"/>
      <c r="Z395" s="184" t="s">
        <v>616</v>
      </c>
      <c r="AE395" s="184"/>
      <c r="AF395" s="184"/>
    </row>
    <row r="396" spans="1:32" s="1" customFormat="1" ht="27" customHeight="1" x14ac:dyDescent="0.25">
      <c r="A396" s="400"/>
      <c r="B396" s="401"/>
      <c r="C396" s="379"/>
      <c r="D396" s="93" t="s">
        <v>374</v>
      </c>
      <c r="E396" s="93" t="s">
        <v>376</v>
      </c>
      <c r="F396" s="388">
        <v>2</v>
      </c>
      <c r="G396" s="388" t="s">
        <v>35</v>
      </c>
      <c r="H396" s="388">
        <v>2</v>
      </c>
      <c r="I396" s="378"/>
      <c r="J396" s="378"/>
      <c r="K396" s="378"/>
      <c r="L396" s="378"/>
      <c r="M396" s="378"/>
      <c r="N396" s="378"/>
      <c r="O396" s="378"/>
      <c r="P396" s="378"/>
      <c r="Q396" s="378"/>
      <c r="R396" s="378"/>
      <c r="S396" s="378"/>
      <c r="T396" s="378"/>
      <c r="U396" s="378"/>
      <c r="V396" s="378"/>
      <c r="W396" s="378"/>
      <c r="X396" s="378"/>
      <c r="Y396" s="378"/>
      <c r="Z396" s="184" t="s">
        <v>616</v>
      </c>
      <c r="AE396" s="184"/>
      <c r="AF396" s="184"/>
    </row>
    <row r="397" spans="1:32" s="1" customFormat="1" ht="27" customHeight="1" x14ac:dyDescent="0.25">
      <c r="A397" s="400"/>
      <c r="B397" s="401"/>
      <c r="C397" s="379"/>
      <c r="D397" s="93" t="s">
        <v>289</v>
      </c>
      <c r="E397" s="93" t="s">
        <v>359</v>
      </c>
      <c r="F397" s="388">
        <v>2</v>
      </c>
      <c r="G397" s="388" t="s">
        <v>32</v>
      </c>
      <c r="H397" s="388">
        <v>3</v>
      </c>
      <c r="I397" s="378">
        <v>7</v>
      </c>
      <c r="J397" s="378">
        <v>15</v>
      </c>
      <c r="K397" s="378"/>
      <c r="L397" s="378"/>
      <c r="M397" s="378">
        <v>4</v>
      </c>
      <c r="N397" s="378"/>
      <c r="O397" s="378">
        <v>3</v>
      </c>
      <c r="P397" s="378"/>
      <c r="Q397" s="378"/>
      <c r="R397" s="378"/>
      <c r="S397" s="378"/>
      <c r="T397" s="378"/>
      <c r="U397" s="378"/>
      <c r="V397" s="378"/>
      <c r="W397" s="378"/>
      <c r="X397" s="378"/>
      <c r="Y397" s="378">
        <v>0.9</v>
      </c>
      <c r="Z397" s="184" t="s">
        <v>617</v>
      </c>
      <c r="AE397" s="184"/>
      <c r="AF397" s="184"/>
    </row>
    <row r="398" spans="1:32" s="1" customFormat="1" ht="27" customHeight="1" x14ac:dyDescent="0.25">
      <c r="A398" s="400"/>
      <c r="B398" s="401"/>
      <c r="C398" s="379"/>
      <c r="D398" s="93" t="s">
        <v>116</v>
      </c>
      <c r="E398" s="93" t="s">
        <v>357</v>
      </c>
      <c r="F398" s="388">
        <v>2</v>
      </c>
      <c r="G398" s="388" t="s">
        <v>32</v>
      </c>
      <c r="H398" s="388">
        <v>3</v>
      </c>
      <c r="I398" s="378"/>
      <c r="J398" s="378"/>
      <c r="K398" s="378"/>
      <c r="L398" s="378"/>
      <c r="M398" s="378"/>
      <c r="N398" s="378"/>
      <c r="O398" s="378"/>
      <c r="P398" s="378"/>
      <c r="Q398" s="378"/>
      <c r="R398" s="378"/>
      <c r="S398" s="378"/>
      <c r="T398" s="378"/>
      <c r="U398" s="378"/>
      <c r="V398" s="378"/>
      <c r="W398" s="378"/>
      <c r="X398" s="378"/>
      <c r="Y398" s="378"/>
      <c r="Z398" s="184" t="s">
        <v>617</v>
      </c>
      <c r="AE398" s="184"/>
      <c r="AF398" s="184"/>
    </row>
    <row r="399" spans="1:32" s="1" customFormat="1" ht="27" customHeight="1" x14ac:dyDescent="0.25">
      <c r="A399" s="400"/>
      <c r="B399" s="401"/>
      <c r="C399" s="379"/>
      <c r="D399" s="93" t="s">
        <v>199</v>
      </c>
      <c r="E399" s="93" t="s">
        <v>369</v>
      </c>
      <c r="F399" s="388">
        <v>2</v>
      </c>
      <c r="G399" s="388" t="s">
        <v>32</v>
      </c>
      <c r="H399" s="378">
        <v>1</v>
      </c>
      <c r="I399" s="378"/>
      <c r="J399" s="378"/>
      <c r="K399" s="378"/>
      <c r="L399" s="378"/>
      <c r="M399" s="378"/>
      <c r="N399" s="378"/>
      <c r="O399" s="378"/>
      <c r="P399" s="378"/>
      <c r="Q399" s="378"/>
      <c r="R399" s="378"/>
      <c r="S399" s="378"/>
      <c r="T399" s="378"/>
      <c r="U399" s="378"/>
      <c r="V399" s="378"/>
      <c r="W399" s="378"/>
      <c r="X399" s="378"/>
      <c r="Y399" s="378"/>
      <c r="Z399" s="184" t="s">
        <v>617</v>
      </c>
      <c r="AE399" s="184"/>
      <c r="AF399" s="184"/>
    </row>
    <row r="400" spans="1:32" s="1" customFormat="1" ht="27" customHeight="1" thickBot="1" x14ac:dyDescent="0.3">
      <c r="A400" s="400"/>
      <c r="B400" s="401"/>
      <c r="C400" s="379"/>
      <c r="D400" s="93" t="s">
        <v>374</v>
      </c>
      <c r="E400" s="93" t="s">
        <v>375</v>
      </c>
      <c r="F400" s="388">
        <v>2</v>
      </c>
      <c r="G400" s="388" t="s">
        <v>32</v>
      </c>
      <c r="H400" s="378">
        <v>1</v>
      </c>
      <c r="I400" s="378"/>
      <c r="J400" s="378"/>
      <c r="K400" s="378"/>
      <c r="L400" s="378"/>
      <c r="M400" s="378"/>
      <c r="N400" s="378"/>
      <c r="O400" s="378"/>
      <c r="P400" s="378"/>
      <c r="Q400" s="378"/>
      <c r="R400" s="378"/>
      <c r="S400" s="378"/>
      <c r="T400" s="378"/>
      <c r="U400" s="378"/>
      <c r="V400" s="378"/>
      <c r="W400" s="378"/>
      <c r="X400" s="378"/>
      <c r="Y400" s="378"/>
      <c r="Z400" s="184" t="s">
        <v>617</v>
      </c>
      <c r="AE400" s="184"/>
      <c r="AF400" s="184"/>
    </row>
    <row r="401" spans="1:32" s="1" customFormat="1" ht="20.25" customHeight="1" thickBot="1" x14ac:dyDescent="0.3">
      <c r="A401" s="392" t="s">
        <v>377</v>
      </c>
      <c r="B401" s="393"/>
      <c r="C401" s="393"/>
      <c r="D401" s="393"/>
      <c r="E401" s="393"/>
      <c r="F401" s="393"/>
      <c r="G401" s="393"/>
      <c r="H401" s="393"/>
      <c r="I401" s="207">
        <f>SUM(I393:I400)</f>
        <v>14</v>
      </c>
      <c r="J401" s="207">
        <f t="shared" ref="J401:Y401" si="0">SUM(J393:J400)</f>
        <v>30</v>
      </c>
      <c r="K401" s="207">
        <f t="shared" si="0"/>
        <v>0</v>
      </c>
      <c r="L401" s="207">
        <f t="shared" si="0"/>
        <v>0</v>
      </c>
      <c r="M401" s="207">
        <f t="shared" si="0"/>
        <v>8</v>
      </c>
      <c r="N401" s="207">
        <f t="shared" si="0"/>
        <v>0</v>
      </c>
      <c r="O401" s="207">
        <f t="shared" si="0"/>
        <v>6</v>
      </c>
      <c r="P401" s="207">
        <f t="shared" si="0"/>
        <v>0</v>
      </c>
      <c r="Q401" s="207">
        <f t="shared" si="0"/>
        <v>0</v>
      </c>
      <c r="R401" s="207">
        <f t="shared" si="0"/>
        <v>0</v>
      </c>
      <c r="S401" s="207">
        <f t="shared" si="0"/>
        <v>0</v>
      </c>
      <c r="T401" s="207">
        <f t="shared" si="0"/>
        <v>0</v>
      </c>
      <c r="U401" s="207">
        <f t="shared" si="0"/>
        <v>0</v>
      </c>
      <c r="V401" s="207">
        <f t="shared" si="0"/>
        <v>0</v>
      </c>
      <c r="W401" s="207">
        <f t="shared" si="0"/>
        <v>0</v>
      </c>
      <c r="X401" s="207">
        <f t="shared" si="0"/>
        <v>0</v>
      </c>
      <c r="Y401" s="207">
        <f t="shared" si="0"/>
        <v>1.8</v>
      </c>
      <c r="Z401" s="184"/>
      <c r="AE401" s="184"/>
      <c r="AF401" s="184"/>
    </row>
    <row r="402" spans="1:32" s="1" customFormat="1" ht="20.25" customHeight="1" thickBot="1" x14ac:dyDescent="0.3">
      <c r="A402" s="392" t="s">
        <v>378</v>
      </c>
      <c r="B402" s="393"/>
      <c r="C402" s="393"/>
      <c r="D402" s="393"/>
      <c r="E402" s="393"/>
      <c r="F402" s="393"/>
      <c r="G402" s="393"/>
      <c r="H402" s="393"/>
      <c r="I402" s="207">
        <f>I401+I392</f>
        <v>449</v>
      </c>
      <c r="J402" s="207">
        <f t="shared" ref="J402:Y402" si="1">J401+J392</f>
        <v>6874</v>
      </c>
      <c r="K402" s="207">
        <f t="shared" si="1"/>
        <v>0</v>
      </c>
      <c r="L402" s="207">
        <f t="shared" si="1"/>
        <v>0</v>
      </c>
      <c r="M402" s="207">
        <f t="shared" si="1"/>
        <v>295</v>
      </c>
      <c r="N402" s="207">
        <f t="shared" si="1"/>
        <v>0</v>
      </c>
      <c r="O402" s="207">
        <f t="shared" si="1"/>
        <v>569</v>
      </c>
      <c r="P402" s="207">
        <f t="shared" si="1"/>
        <v>0</v>
      </c>
      <c r="Q402" s="207">
        <f t="shared" si="1"/>
        <v>0</v>
      </c>
      <c r="R402" s="207">
        <f t="shared" si="1"/>
        <v>0</v>
      </c>
      <c r="S402" s="207">
        <f t="shared" si="1"/>
        <v>0</v>
      </c>
      <c r="T402" s="207">
        <f t="shared" si="1"/>
        <v>0</v>
      </c>
      <c r="U402" s="207">
        <f t="shared" si="1"/>
        <v>0</v>
      </c>
      <c r="V402" s="207">
        <f t="shared" si="1"/>
        <v>0</v>
      </c>
      <c r="W402" s="207">
        <f t="shared" si="1"/>
        <v>0</v>
      </c>
      <c r="X402" s="207">
        <f t="shared" si="1"/>
        <v>0</v>
      </c>
      <c r="Y402" s="207">
        <f t="shared" si="1"/>
        <v>270.80999999999995</v>
      </c>
      <c r="Z402" s="184"/>
      <c r="AE402" s="184"/>
      <c r="AF402" s="184"/>
    </row>
    <row r="403" spans="1:32" s="1" customFormat="1" x14ac:dyDescent="0.3">
      <c r="A403" s="23"/>
      <c r="B403" s="29"/>
      <c r="C403" s="29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184"/>
      <c r="AE403" s="184"/>
      <c r="AF403" s="184"/>
    </row>
    <row r="404" spans="1:32" s="1" customFormat="1" x14ac:dyDescent="0.3">
      <c r="A404" s="23"/>
      <c r="B404" s="26" t="s">
        <v>214</v>
      </c>
      <c r="C404" s="26"/>
      <c r="D404" s="6"/>
      <c r="E404" s="6"/>
      <c r="F404" s="374"/>
      <c r="G404" s="387"/>
      <c r="H404" s="387"/>
      <c r="I404" s="387"/>
      <c r="J404" s="374" t="s">
        <v>40</v>
      </c>
      <c r="K404" s="26"/>
      <c r="L404" s="374" t="s">
        <v>161</v>
      </c>
      <c r="M404" s="26"/>
      <c r="N404" s="26"/>
      <c r="O404" s="27"/>
      <c r="P404" s="26"/>
      <c r="Q404" s="27"/>
      <c r="R404" s="26"/>
      <c r="S404" s="26"/>
      <c r="T404" s="26"/>
      <c r="U404" s="6"/>
      <c r="V404" s="6"/>
      <c r="W404" s="6"/>
      <c r="X404" s="6"/>
      <c r="Y404" s="28"/>
      <c r="Z404" s="184"/>
      <c r="AE404" s="184"/>
      <c r="AF404" s="184"/>
    </row>
    <row r="405" spans="1:32" s="1" customFormat="1" x14ac:dyDescent="0.3">
      <c r="A405" s="23"/>
      <c r="B405" s="394" t="s">
        <v>207</v>
      </c>
      <c r="C405" s="394"/>
      <c r="D405" s="394"/>
      <c r="E405" s="394"/>
      <c r="F405" s="6"/>
      <c r="G405" s="387"/>
      <c r="H405" s="387"/>
      <c r="I405" s="387"/>
      <c r="J405" s="367"/>
      <c r="K405" s="26"/>
      <c r="L405" s="26" t="s">
        <v>208</v>
      </c>
      <c r="M405" s="26"/>
      <c r="N405" s="26"/>
      <c r="O405" s="6"/>
      <c r="P405" s="6"/>
      <c r="Q405" s="23"/>
      <c r="R405" s="6"/>
      <c r="S405" s="367"/>
      <c r="T405" s="367"/>
      <c r="U405" s="6"/>
      <c r="V405" s="367"/>
      <c r="W405" s="367"/>
      <c r="X405" s="6"/>
      <c r="Y405" s="28"/>
      <c r="Z405" s="184"/>
      <c r="AE405" s="184"/>
      <c r="AF405" s="184"/>
    </row>
    <row r="406" spans="1:32" s="1" customFormat="1" x14ac:dyDescent="0.3">
      <c r="A406" s="23"/>
      <c r="B406" s="29"/>
      <c r="C406" s="29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184"/>
      <c r="AE406" s="184"/>
      <c r="AF406" s="184"/>
    </row>
    <row r="407" spans="1:32" s="1" customFormat="1" x14ac:dyDescent="0.3">
      <c r="A407" s="23"/>
      <c r="B407" s="29"/>
      <c r="C407" s="29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184"/>
      <c r="AE407" s="184"/>
      <c r="AF407" s="184"/>
    </row>
    <row r="408" spans="1:32" s="1" customFormat="1" x14ac:dyDescent="0.3">
      <c r="A408" s="23"/>
      <c r="B408" s="29"/>
      <c r="C408" s="29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184"/>
      <c r="AE408" s="184"/>
      <c r="AF408" s="184"/>
    </row>
    <row r="409" spans="1:32" s="1" customFormat="1" x14ac:dyDescent="0.3">
      <c r="A409" s="23"/>
      <c r="B409" s="29"/>
      <c r="C409" s="29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184"/>
      <c r="AE409" s="184"/>
      <c r="AF409" s="184"/>
    </row>
    <row r="410" spans="1:32" s="1" customFormat="1" x14ac:dyDescent="0.3">
      <c r="A410" s="23"/>
      <c r="B410" s="29"/>
      <c r="C410" s="29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184"/>
      <c r="AE410" s="184"/>
      <c r="AF410" s="184"/>
    </row>
    <row r="411" spans="1:32" s="1" customFormat="1" x14ac:dyDescent="0.3">
      <c r="A411" s="23"/>
      <c r="B411" s="29"/>
      <c r="C411" s="29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184"/>
      <c r="AE411" s="184"/>
      <c r="AF411" s="184"/>
    </row>
    <row r="412" spans="1:32" s="1" customFormat="1" x14ac:dyDescent="0.3">
      <c r="A412" s="23"/>
      <c r="B412" s="29"/>
      <c r="C412" s="29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184"/>
      <c r="AE412" s="184"/>
      <c r="AF412" s="184"/>
    </row>
    <row r="413" spans="1:32" s="1" customFormat="1" x14ac:dyDescent="0.3">
      <c r="A413" s="23"/>
      <c r="B413" s="29"/>
      <c r="C413" s="29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184"/>
      <c r="AE413" s="184"/>
      <c r="AF413" s="184"/>
    </row>
    <row r="414" spans="1:32" s="1" customFormat="1" x14ac:dyDescent="0.3">
      <c r="A414" s="23"/>
      <c r="B414" s="29"/>
      <c r="C414" s="29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184"/>
      <c r="AE414" s="184"/>
      <c r="AF414" s="184"/>
    </row>
    <row r="415" spans="1:32" s="1" customFormat="1" x14ac:dyDescent="0.3">
      <c r="A415" s="23"/>
      <c r="B415" s="29"/>
      <c r="C415" s="29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184"/>
      <c r="AE415" s="184"/>
      <c r="AF415" s="184"/>
    </row>
    <row r="416" spans="1:32" s="1" customFormat="1" x14ac:dyDescent="0.3">
      <c r="A416" s="23"/>
      <c r="B416" s="29"/>
      <c r="C416" s="29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184"/>
      <c r="AE416" s="184"/>
      <c r="AF416" s="184"/>
    </row>
    <row r="417" spans="1:32" s="1" customFormat="1" x14ac:dyDescent="0.3">
      <c r="A417" s="23"/>
      <c r="B417" s="29"/>
      <c r="C417" s="29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184"/>
      <c r="AE417" s="184"/>
      <c r="AF417" s="184"/>
    </row>
    <row r="418" spans="1:32" s="1" customFormat="1" x14ac:dyDescent="0.3">
      <c r="A418" s="23"/>
      <c r="B418" s="29"/>
      <c r="C418" s="29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184"/>
      <c r="AE418" s="184"/>
      <c r="AF418" s="184"/>
    </row>
    <row r="419" spans="1:32" s="1" customFormat="1" x14ac:dyDescent="0.3">
      <c r="A419" s="23"/>
      <c r="B419" s="29"/>
      <c r="C419" s="29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184"/>
      <c r="AE419" s="184"/>
      <c r="AF419" s="184"/>
    </row>
    <row r="420" spans="1:32" s="1" customFormat="1" x14ac:dyDescent="0.3">
      <c r="A420" s="23"/>
      <c r="B420" s="29"/>
      <c r="C420" s="29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184"/>
      <c r="AE420" s="184"/>
      <c r="AF420" s="184"/>
    </row>
    <row r="421" spans="1:32" s="1" customFormat="1" x14ac:dyDescent="0.3">
      <c r="A421" s="23"/>
      <c r="B421" s="29"/>
      <c r="C421" s="29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184"/>
      <c r="AE421" s="184"/>
      <c r="AF421" s="184"/>
    </row>
    <row r="422" spans="1:32" s="1" customFormat="1" x14ac:dyDescent="0.3">
      <c r="A422" s="23"/>
      <c r="B422" s="29"/>
      <c r="C422" s="29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184"/>
      <c r="AE422" s="184"/>
      <c r="AF422" s="184"/>
    </row>
    <row r="423" spans="1:32" s="1" customFormat="1" x14ac:dyDescent="0.3">
      <c r="A423" s="23"/>
      <c r="B423" s="29"/>
      <c r="C423" s="29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184"/>
      <c r="AE423" s="184"/>
      <c r="AF423" s="184"/>
    </row>
    <row r="424" spans="1:32" s="1" customFormat="1" x14ac:dyDescent="0.3">
      <c r="A424" s="23"/>
      <c r="B424" s="29"/>
      <c r="C424" s="29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184"/>
      <c r="AE424" s="184"/>
      <c r="AF424" s="184"/>
    </row>
    <row r="425" spans="1:32" s="1" customFormat="1" x14ac:dyDescent="0.3">
      <c r="A425" s="23"/>
      <c r="B425" s="29"/>
      <c r="C425" s="29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184"/>
      <c r="AE425" s="184"/>
      <c r="AF425" s="184"/>
    </row>
    <row r="426" spans="1:32" s="1" customFormat="1" x14ac:dyDescent="0.3">
      <c r="A426" s="23"/>
      <c r="B426" s="29"/>
      <c r="C426" s="29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184"/>
      <c r="AE426" s="184"/>
      <c r="AF426" s="184"/>
    </row>
    <row r="427" spans="1:32" s="1" customFormat="1" x14ac:dyDescent="0.3">
      <c r="A427" s="23"/>
      <c r="B427" s="29"/>
      <c r="C427" s="29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184"/>
      <c r="AE427" s="184"/>
      <c r="AF427" s="184"/>
    </row>
    <row r="428" spans="1:32" s="1" customFormat="1" x14ac:dyDescent="0.3">
      <c r="A428" s="23"/>
      <c r="B428" s="29"/>
      <c r="C428" s="29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184"/>
      <c r="AE428" s="184"/>
      <c r="AF428" s="184"/>
    </row>
    <row r="429" spans="1:32" s="1" customFormat="1" x14ac:dyDescent="0.3">
      <c r="A429" s="23"/>
      <c r="B429" s="29"/>
      <c r="C429" s="29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184"/>
      <c r="AE429" s="184"/>
      <c r="AF429" s="184"/>
    </row>
    <row r="430" spans="1:32" s="1" customFormat="1" x14ac:dyDescent="0.3">
      <c r="A430" s="23"/>
      <c r="B430" s="29"/>
      <c r="C430" s="29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184"/>
      <c r="AE430" s="184"/>
      <c r="AF430" s="184"/>
    </row>
    <row r="431" spans="1:32" s="1" customFormat="1" x14ac:dyDescent="0.3">
      <c r="A431" s="23"/>
      <c r="B431" s="29"/>
      <c r="C431" s="29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184"/>
      <c r="AE431" s="184"/>
      <c r="AF431" s="184"/>
    </row>
    <row r="432" spans="1:32" s="1" customFormat="1" x14ac:dyDescent="0.3">
      <c r="A432" s="23"/>
      <c r="B432" s="29"/>
      <c r="C432" s="29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184"/>
      <c r="AE432" s="184"/>
      <c r="AF432" s="184"/>
    </row>
    <row r="433" spans="1:32" s="1" customFormat="1" x14ac:dyDescent="0.3">
      <c r="A433" s="23"/>
      <c r="B433" s="29"/>
      <c r="C433" s="29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184"/>
      <c r="AE433" s="184"/>
      <c r="AF433" s="184"/>
    </row>
    <row r="434" spans="1:32" s="1" customFormat="1" x14ac:dyDescent="0.3">
      <c r="A434" s="23"/>
      <c r="B434" s="29"/>
      <c r="C434" s="29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184"/>
      <c r="AE434" s="184"/>
      <c r="AF434" s="184"/>
    </row>
    <row r="435" spans="1:32" s="1" customFormat="1" x14ac:dyDescent="0.3">
      <c r="A435" s="23"/>
      <c r="B435" s="29"/>
      <c r="C435" s="29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184"/>
      <c r="AE435" s="184"/>
      <c r="AF435" s="184"/>
    </row>
    <row r="436" spans="1:32" s="1" customFormat="1" x14ac:dyDescent="0.3">
      <c r="A436" s="23"/>
      <c r="B436" s="29"/>
      <c r="C436" s="29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184"/>
      <c r="AE436" s="184"/>
      <c r="AF436" s="184"/>
    </row>
    <row r="437" spans="1:32" s="1" customFormat="1" x14ac:dyDescent="0.3">
      <c r="A437" s="23"/>
      <c r="B437" s="29"/>
      <c r="C437" s="29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184"/>
      <c r="AE437" s="184"/>
      <c r="AF437" s="184"/>
    </row>
    <row r="438" spans="1:32" s="1" customFormat="1" x14ac:dyDescent="0.3">
      <c r="A438" s="23"/>
      <c r="B438" s="29"/>
      <c r="C438" s="29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184"/>
      <c r="AE438" s="184"/>
      <c r="AF438" s="184"/>
    </row>
    <row r="439" spans="1:32" s="1" customFormat="1" x14ac:dyDescent="0.3">
      <c r="A439" s="23"/>
      <c r="B439" s="29"/>
      <c r="C439" s="29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184"/>
      <c r="AE439" s="184"/>
      <c r="AF439" s="184"/>
    </row>
    <row r="440" spans="1:32" s="1" customFormat="1" x14ac:dyDescent="0.3">
      <c r="A440" s="23"/>
      <c r="B440" s="29"/>
      <c r="C440" s="29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184"/>
      <c r="AE440" s="184"/>
      <c r="AF440" s="184"/>
    </row>
    <row r="441" spans="1:32" s="1" customFormat="1" x14ac:dyDescent="0.3">
      <c r="A441" s="23"/>
      <c r="B441" s="29"/>
      <c r="C441" s="29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184"/>
      <c r="AE441" s="184"/>
      <c r="AF441" s="184"/>
    </row>
    <row r="442" spans="1:32" s="1" customFormat="1" x14ac:dyDescent="0.3">
      <c r="A442" s="23"/>
      <c r="B442" s="29"/>
      <c r="C442" s="29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184"/>
      <c r="AE442" s="184"/>
      <c r="AF442" s="184"/>
    </row>
    <row r="443" spans="1:32" s="1" customFormat="1" x14ac:dyDescent="0.3">
      <c r="A443" s="23"/>
      <c r="B443" s="29"/>
      <c r="C443" s="29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184"/>
      <c r="AE443" s="184"/>
      <c r="AF443" s="184"/>
    </row>
  </sheetData>
  <mergeCells count="41">
    <mergeCell ref="A392:H392"/>
    <mergeCell ref="A393:A400"/>
    <mergeCell ref="B393:B400"/>
    <mergeCell ref="A401:H401"/>
    <mergeCell ref="A402:H402"/>
    <mergeCell ref="B405:E405"/>
    <mergeCell ref="B164:B197"/>
    <mergeCell ref="B198:B246"/>
    <mergeCell ref="B247:B304"/>
    <mergeCell ref="B305:B344"/>
    <mergeCell ref="B345:B362"/>
    <mergeCell ref="A363:A391"/>
    <mergeCell ref="B363:B391"/>
    <mergeCell ref="W10:W11"/>
    <mergeCell ref="X10:X11"/>
    <mergeCell ref="Y10:Y11"/>
    <mergeCell ref="A13:Y13"/>
    <mergeCell ref="B14:B163"/>
    <mergeCell ref="A20:A163"/>
    <mergeCell ref="N10:N11"/>
    <mergeCell ref="O10:O11"/>
    <mergeCell ref="P10:P11"/>
    <mergeCell ref="Q10:Q11"/>
    <mergeCell ref="R10:U10"/>
    <mergeCell ref="V10:V11"/>
    <mergeCell ref="H10:H11"/>
    <mergeCell ref="I10:I11"/>
    <mergeCell ref="J10:J11"/>
    <mergeCell ref="K10:K11"/>
    <mergeCell ref="L10:L11"/>
    <mergeCell ref="M10:M11"/>
    <mergeCell ref="B1:X1"/>
    <mergeCell ref="B2:X2"/>
    <mergeCell ref="A7:Y7"/>
    <mergeCell ref="A8:Y8"/>
    <mergeCell ref="A10:A11"/>
    <mergeCell ref="B10:B11"/>
    <mergeCell ref="D10:D11"/>
    <mergeCell ref="E10:E11"/>
    <mergeCell ref="F10:F11"/>
    <mergeCell ref="G10:G11"/>
  </mergeCells>
  <pageMargins left="0.51181102362204722" right="0.11811023622047245" top="0.55118110236220474" bottom="0.15748031496062992" header="0.31496062992125984" footer="0.31496062992125984"/>
  <pageSetup paperSize="9" scale="46" orientation="landscape" horizontalDpi="300" verticalDpi="300" r:id="rId1"/>
  <rowBreaks count="3" manualBreakCount="3">
    <brk id="56" max="37" man="1"/>
    <brk id="233" max="38" man="1"/>
    <brk id="286" max="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6</vt:i4>
      </vt:variant>
    </vt:vector>
  </HeadingPairs>
  <TitlesOfParts>
    <vt:vector size="14" baseType="lpstr">
      <vt:lpstr>оод (2)</vt:lpstr>
      <vt:lpstr>эиб</vt:lpstr>
      <vt:lpstr>юр</vt:lpstr>
      <vt:lpstr>стр</vt:lpstr>
      <vt:lpstr>эл</vt:lpstr>
      <vt:lpstr>ттт</vt:lpstr>
      <vt:lpstr>нд</vt:lpstr>
      <vt:lpstr>оод (3)</vt:lpstr>
      <vt:lpstr>нд!Область_печати</vt:lpstr>
      <vt:lpstr>'оод (2)'!Область_печати</vt:lpstr>
      <vt:lpstr>'оод (3)'!Область_печати</vt:lpstr>
      <vt:lpstr>стр!Область_печати</vt:lpstr>
      <vt:lpstr>ттт!Область_печати</vt:lpstr>
      <vt:lpstr>юр!Область_печати</vt:lpstr>
    </vt:vector>
  </TitlesOfParts>
  <Company>ЗКИТУ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Kalniyazova</dc:creator>
  <cp:lastModifiedBy>Методист ЗКИТУ</cp:lastModifiedBy>
  <cp:lastPrinted>2026-01-21T11:00:07Z</cp:lastPrinted>
  <dcterms:created xsi:type="dcterms:W3CDTF">2010-03-16T11:42:39Z</dcterms:created>
  <dcterms:modified xsi:type="dcterms:W3CDTF">2026-01-23T07:19:14Z</dcterms:modified>
</cp:coreProperties>
</file>